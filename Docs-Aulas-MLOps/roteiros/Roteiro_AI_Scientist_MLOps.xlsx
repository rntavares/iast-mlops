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avar\Documents\repo\postech-mlops\roteiros\"/>
    </mc:Choice>
  </mc:AlternateContent>
  <xr:revisionPtr revIDLastSave="0" documentId="13_ncr:1_{BBDABC99-23D6-4CBB-B546-37779E799AE5}" xr6:coauthVersionLast="47" xr6:coauthVersionMax="47" xr10:uidLastSave="{00000000-0000-0000-0000-000000000000}"/>
  <bookViews>
    <workbookView xWindow="1884" yWindow="1884" windowWidth="15480" windowHeight="12168" activeTab="2" xr2:uid="{00000000-000D-0000-FFFF-FFFF00000000}"/>
  </bookViews>
  <sheets>
    <sheet name="Instruções" sheetId="1" r:id="rId1"/>
    <sheet name="Introdução" sheetId="2" r:id="rId2"/>
    <sheet name="Aulas" sheetId="3" r:id="rId3"/>
    <sheet name="Vídeos" sheetId="4" r:id="rId4"/>
    <sheet name="Configurações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4" l="1"/>
  <c r="I47" i="4"/>
  <c r="H47" i="4"/>
  <c r="G47" i="4"/>
  <c r="F47" i="4" s="1"/>
  <c r="J47" i="4" s="1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I21" i="4"/>
  <c r="H21" i="4"/>
  <c r="G21" i="4"/>
  <c r="F21" i="4"/>
  <c r="J21" i="4" s="1"/>
  <c r="I20" i="4"/>
  <c r="H20" i="4"/>
  <c r="G20" i="4"/>
  <c r="F20" i="4" s="1"/>
  <c r="J20" i="4" s="1"/>
  <c r="I19" i="4"/>
  <c r="H19" i="4"/>
  <c r="G19" i="4"/>
  <c r="F19" i="4"/>
  <c r="J19" i="4" s="1"/>
  <c r="I18" i="4"/>
  <c r="H18" i="4"/>
  <c r="G18" i="4"/>
  <c r="F18" i="4"/>
  <c r="J18" i="4" s="1"/>
  <c r="I17" i="4"/>
  <c r="H17" i="4"/>
  <c r="G17" i="4"/>
  <c r="F17" i="4"/>
  <c r="J17" i="4" s="1"/>
  <c r="I16" i="4"/>
  <c r="H16" i="4"/>
  <c r="G16" i="4"/>
  <c r="F16" i="4"/>
  <c r="J16" i="4" s="1"/>
  <c r="I15" i="4"/>
  <c r="H15" i="4"/>
  <c r="G15" i="4"/>
  <c r="F15" i="4"/>
  <c r="J15" i="4" s="1"/>
  <c r="I14" i="4"/>
  <c r="H14" i="4"/>
  <c r="G14" i="4"/>
  <c r="F14" i="4"/>
  <c r="J14" i="4" s="1"/>
  <c r="I13" i="4"/>
  <c r="H13" i="4"/>
  <c r="G13" i="4"/>
  <c r="F13" i="4"/>
  <c r="J13" i="4" s="1"/>
  <c r="I12" i="4"/>
  <c r="H12" i="4"/>
  <c r="G12" i="4"/>
  <c r="F12" i="4"/>
  <c r="J12" i="4" s="1"/>
  <c r="I11" i="4"/>
  <c r="H11" i="4"/>
  <c r="G11" i="4"/>
  <c r="F11" i="4"/>
  <c r="J11" i="4" s="1"/>
  <c r="I10" i="4"/>
  <c r="H10" i="4"/>
  <c r="G10" i="4"/>
  <c r="F10" i="4"/>
  <c r="J10" i="4" s="1"/>
  <c r="I9" i="4"/>
  <c r="H9" i="4"/>
  <c r="G9" i="4"/>
  <c r="F9" i="4"/>
  <c r="J9" i="4" s="1"/>
  <c r="I8" i="4"/>
  <c r="H8" i="4"/>
  <c r="G8" i="4"/>
  <c r="F8" i="4"/>
  <c r="J8" i="4" s="1"/>
  <c r="I7" i="4"/>
  <c r="H7" i="4"/>
  <c r="G7" i="4"/>
  <c r="F7" i="4"/>
  <c r="J7" i="4" s="1"/>
  <c r="I6" i="4"/>
  <c r="H6" i="4"/>
  <c r="G6" i="4"/>
  <c r="F6" i="4"/>
  <c r="J6" i="4" s="1"/>
  <c r="I5" i="4"/>
  <c r="H5" i="4"/>
  <c r="G5" i="4"/>
  <c r="F5" i="4"/>
  <c r="J5" i="4" s="1"/>
  <c r="I4" i="4"/>
  <c r="H4" i="4"/>
  <c r="G4" i="4"/>
  <c r="F4" i="4"/>
  <c r="J4" i="4" s="1"/>
  <c r="I3" i="4"/>
  <c r="H3" i="4"/>
  <c r="G3" i="4"/>
  <c r="F3" i="4"/>
  <c r="J3" i="4" s="1"/>
  <c r="K13" i="3"/>
  <c r="L13" i="3" s="1"/>
  <c r="J13" i="3" s="1"/>
  <c r="O13" i="3" s="1"/>
  <c r="I13" i="3"/>
  <c r="N12" i="3"/>
  <c r="M12" i="3"/>
  <c r="K12" i="3"/>
  <c r="I12" i="3"/>
  <c r="L12" i="3" s="1"/>
  <c r="J12" i="3" s="1"/>
  <c r="O12" i="3" s="1"/>
  <c r="N11" i="3"/>
  <c r="M11" i="3"/>
  <c r="L11" i="3"/>
  <c r="K11" i="3"/>
  <c r="J11" i="3"/>
  <c r="O11" i="3" s="1"/>
  <c r="I11" i="3"/>
  <c r="N10" i="3"/>
  <c r="M10" i="3"/>
  <c r="I10" i="3"/>
  <c r="L10" i="3" s="1"/>
  <c r="N9" i="3"/>
  <c r="M9" i="3"/>
  <c r="I9" i="3"/>
  <c r="L9" i="3" s="1"/>
  <c r="N8" i="3"/>
  <c r="M8" i="3"/>
  <c r="K8" i="3"/>
  <c r="I8" i="3"/>
  <c r="L8" i="3" s="1"/>
  <c r="N7" i="3"/>
  <c r="M7" i="3"/>
  <c r="I7" i="3"/>
  <c r="L7" i="3" s="1"/>
  <c r="M6" i="3"/>
  <c r="I6" i="3"/>
  <c r="K6" i="3" s="1"/>
  <c r="N5" i="3"/>
  <c r="M5" i="3"/>
  <c r="L5" i="3"/>
  <c r="I5" i="3"/>
  <c r="K5" i="3" s="1"/>
  <c r="M4" i="3"/>
  <c r="I4" i="3"/>
  <c r="N4" i="3" s="1"/>
  <c r="M3" i="3"/>
  <c r="K3" i="3"/>
  <c r="I3" i="3"/>
  <c r="L3" i="3" s="1"/>
  <c r="J5" i="3" l="1"/>
  <c r="O5" i="3" s="1"/>
  <c r="J8" i="3"/>
  <c r="O8" i="3" s="1"/>
  <c r="J48" i="4"/>
  <c r="L6" i="3"/>
  <c r="J6" i="3" s="1"/>
  <c r="O6" i="3" s="1"/>
  <c r="K9" i="3"/>
  <c r="J9" i="3" s="1"/>
  <c r="O9" i="3" s="1"/>
  <c r="N3" i="3"/>
  <c r="J3" i="3" s="1"/>
  <c r="O3" i="3" s="1"/>
  <c r="N6" i="3"/>
  <c r="L4" i="3"/>
  <c r="K7" i="3"/>
  <c r="J7" i="3" s="1"/>
  <c r="O7" i="3" s="1"/>
  <c r="K4" i="3"/>
  <c r="K10" i="3"/>
  <c r="J10" i="3" s="1"/>
  <c r="O10" i="3" s="1"/>
  <c r="J4" i="3" l="1"/>
  <c r="O4" i="3" s="1"/>
  <c r="O14" i="3" s="1"/>
  <c r="B14" i="2" s="1"/>
</calcChain>
</file>

<file path=xl/sharedStrings.xml><?xml version="1.0" encoding="utf-8"?>
<sst xmlns="http://schemas.openxmlformats.org/spreadsheetml/2006/main" count="118" uniqueCount="107">
  <si>
    <t>No. da Aula</t>
  </si>
  <si>
    <t>Título da Aula</t>
  </si>
  <si>
    <t>Objetivos de aprendizagem da aula</t>
  </si>
  <si>
    <t>Teoria abordada na aula</t>
  </si>
  <si>
    <t>Assunto que poderia ser mais aprofundado na aula</t>
  </si>
  <si>
    <t>Livro / Artigo de referencia utilizado na aula</t>
  </si>
  <si>
    <t>Usará recurso? Se sim, qual (PPT, Miro)? Se não, preencha não</t>
  </si>
  <si>
    <t>Utilizará código? Se sim, informe o Github ou preencha não</t>
  </si>
  <si>
    <t>Tempo estimado
 (em minutos)</t>
  </si>
  <si>
    <t>Status</t>
  </si>
  <si>
    <t>Ciclo de Vida de Modelos</t>
  </si>
  <si>
    <t>Capacitar o aluno a compreender e aplicar as etapas completas do ciclo de vida de um modelo de machine learning, desde a definição do problema até o monitoramento em produção, identificando responsabilidades, artefatos e decisões em cada fase.</t>
  </si>
  <si>
    <t>Definição do problema e métricas de sucesso. Coleta, exploração e preparação de dados (EDA, feature engineering). Treinamento, validação e seleção de modelos. Avaliação com métricas de negócio vs técnicas. Versionamento de modelos e dados. Empacotamento e serialização (pickle, joblib, ONNX). Implantação e monitoramento (data drift, concept drift). Retreinamento e governança de modelos.</t>
  </si>
  <si>
    <t>Feature stores. Governança e auditoria de modelos. Estratégias avançadas de retreinamento automático.</t>
  </si>
  <si>
    <t>Huyen, C. (2022) - 'Designing Machine Learning Systems' (O'Reilly). Burkov, A. (2020) - 'Machine Learning Engineering'. Sculley et al. (2015) - 'Hidden Technical Debt in Machine Learning Systems' (NeurIPS).</t>
  </si>
  <si>
    <t>PPT</t>
  </si>
  <si>
    <t>MLOps</t>
  </si>
  <si>
    <t>Ensinar ao aluno os princípios, práticas e ferramentas de MLOps, capacitando-o a planejar e implementar pipelines automatizados que garantam a qualidade, rastreabilidade e reprodutibilidade de projetos de machine learning em escala.</t>
  </si>
  <si>
    <t>O que é MLOps e por que surgiu (DevOps + ML). Diferenças entre DevOps e MLOps. Níveis de maturidade MLOps (Google: Nível 0, 1 e 2). Componentes de uma plataforma MLOps: experiment tracking, model registry, feature store, orchestration, monitoring. Ferramentas: MLflow, DVC, Weights &amp; Biases, Kubeflow, Airflow. Experiment tracking e Model Registry na prática com MLflow.</t>
  </si>
  <si>
    <t>Feature Stores (Feast, Tecton). Orquestração com Kubeflow/Airflow. Plataformas gerenciadas (SageMaker, Vertex AI).</t>
  </si>
  <si>
    <t>Treveil, M. et al. (2020) - 'Introducing MLOps' (O'Reilly). Google Cloud - 'MLOps: Continuous delivery and automation pipelines in machine learning'. Zaharia et al. (2018) - 'Accelerating the ML Lifecycle with MLflow'.</t>
  </si>
  <si>
    <t>CI/CD Aplicado a Modelos de Machine Learning</t>
  </si>
  <si>
    <t>Capacitar o aluno a projetar e implementar pipelines de integração contínua e entrega contínua (CI/CD) específicos para projetos de machine learning, automatizando testes, validações e deploy de modelos com segurança e rastreabilidade.</t>
  </si>
  <si>
    <t>Revisão de CI/CD no software tradicional. Adaptação para ML: código, dados e modelos. Pipeline de CI: testes de dados (Great Expectations, schema validation), testes de modelo (performance thresholds, fairness), testes de código. Pipeline de CD: empacotamento, validação em staging, promoção. Estratégias de deploy: blue-green, canary, shadow mode. Ferramentas: GitHub Actions, DVC Pipelines. Triggers de retreinamento.</t>
  </si>
  <si>
    <t>Testes de fairness automatizados. Pipelines em cloud (SageMaker, Vertex AI). A/B testing de modelos.</t>
  </si>
  <si>
    <t>Chen, C. et al. (2022) - 'Reliable Machine Learning' (O'Reilly). Fowler, M. (2019) - 'Continuous Delivery for Machine Learning'. Jordan, J. (2020) - 'Testing Machine Learning Systems'.</t>
  </si>
  <si>
    <t>Deploy de Modelos em Produção com APIs e Containers</t>
  </si>
  <si>
    <t>Ensinar ao aluno a empacotar, servir e escalar modelos de machine learning em produção usando APIs RESTful (FastAPI/Flask) e containers Docker, aplicando boas práticas de engenharia de software para garantir disponibilidade, performance e observabilidade.</t>
  </si>
  <si>
    <t>Padrões de serving: batch vs real-time. Criação de APIs com FastAPI: endpoints de predição, validação com Pydantic, documentação automática (Swagger). Serialização e carregamento de modelos. Containerização com Docker. Docker Compose para serviços compostos. Escalabilidade: load balancing, réplicas, health checks. Monitoramento: logging, latência, data drift. Introdução a Kubernetes.</t>
  </si>
  <si>
    <t>Serving com TensorFlow Serving / TorchServe. Deploy serverless (AWS Lambda). Observabilidade avançada (Prometheus, Grafana).</t>
  </si>
  <si>
    <t>Huyen, C. (2022) - 'Designing Machine Learning Systems' (O'Reilly). Documentação FastAPI (https://fastapi.tiangolo.com/). Documentação Docker (https://docs.docker.com/) e Kubernetes (https://kubernetes.io/docs/).</t>
  </si>
  <si>
    <t>Total</t>
  </si>
  <si>
    <t>Dicas</t>
  </si>
  <si>
    <t>Confira as aulas combinadas com a pessoa coordenadora para obter os títulos corretos de cada aula. Caso mudanças sejam necessárias, então, comunique sobre elas imediatamente. Isso é importante pois as aulas impactam na carga horário geral do curso e mudanças impactam em outras disciplinas.</t>
  </si>
  <si>
    <t>Para lhe ajudar a estruturar os objetivos de aprendizagem, por favor, assista ao vídeo Taxonomia de Bloom.</t>
  </si>
  <si>
    <t>Vídeo</t>
  </si>
  <si>
    <t>Sobre o tempo estimado, você pode usar o software Text Converter para ter uma estimativa do tempo gasto em uma fala.</t>
  </si>
  <si>
    <t>Software</t>
  </si>
  <si>
    <t>Regras de gravação:</t>
  </si>
  <si>
    <t>Na aba Aulas coloque as informações sobre todas as aulas que serão gravadas e combinadas com o coordenador do curso. 
Cada aula precisa ter no mínimo 45 minutos e no máximo 2 horas. 
Uma informação importante é que o curso da Postech precisa ter, no mínimo, 100 horas de vídeos. Para isso, o planejamento é que cada aula tenha ao menos 1 hora. Se uma aula por algum motivo tiver menos tempo (45 min, por exemplo) as outras aulas precisam compensar no total da disciplina.
Então, por exemplo, numa disciplina de 5 aulas, todas a soma de todos os vídeos de todas as aulas precisam ter, no mínimo, 5 horas.
É importante salientar que, para melhor aproveitamento do conteúdo, cada vídeo deve ter no mínimo 15 minutos e no máximo 30 minutos.</t>
  </si>
  <si>
    <t>Ao escrever o objetivo da aula e o tema de cada vídeo, seja objetivo e utilize bullets points e coloque as informações necessárias para que o produtor possa acompanhar e verificar se todos os pontos foram cobertos.
Se quiser, planeje o tempo que gastará em cada tema e coloque essa informação junto ao bullet point. Isso ajudará o produtor a acompanhar o tempo e dar dicas caso seja necessário quebrar o vídeo em dois durante a gravação.</t>
  </si>
  <si>
    <t>Abordagem didática</t>
  </si>
  <si>
    <t>Sempre que possível siga a abordagem didática Contexto -&gt; Problema -&gt; Solução -&gt; Teoria (CPST), pois ela é baseada na Aprendizagem Baseada em Problemas e na Jornada do Herói, e permite um maior engajamento e motivação por parte das alunas e alunos.</t>
  </si>
  <si>
    <t>Exemplo: Usando a abordagem CSPT para explicar o que é Splash Screen</t>
  </si>
  <si>
    <t>Contexto</t>
  </si>
  <si>
    <t>Problema</t>
  </si>
  <si>
    <t>Solução</t>
  </si>
  <si>
    <t>Teoria</t>
  </si>
  <si>
    <t>Ao abrir o aplicativo, a tela fica parada em branco por um tempo.</t>
  </si>
  <si>
    <t>As pessoas fecham o aplicativo, pois acham que foi bug. Como resolver esse problema?</t>
  </si>
  <si>
    <t>Para saber que não é um bug, mas sim o carregamento normal do aplicativo, colocamos uma tela intermediária de carregamento.</t>
  </si>
  <si>
    <t>Essa tela intermediária é o que chamamos de Splash Screen. Trata-se de um padrão de design da interface do usuário usado para diminuir a sensação de demora no carregamento de um app.</t>
  </si>
  <si>
    <t>Para saber mais sobre a abordagem CPST, assista ao vídeo A Jornada do Herói na Educação</t>
  </si>
  <si>
    <t>Os alunos da PosTech valorizam a prática. Então sempre que possível aborde a teoria utilizando ferramentas e cases que tragam a vivencia para o dia a dia dos alunos</t>
  </si>
  <si>
    <t>O ideal é que as aulas sejam formadas por vídeos de 20 a 25 minutos. Por isso planeje bem os cortes dos vídeos. Um bom ponto de corte, por exemplo, é quando você encerrar um raciocínio de um conceito e iniciar outro.</t>
  </si>
  <si>
    <t>Se tiver qualquer dúvida sobre a didática do produto PosTech, não hesite em entrar em contato com a equipe de projetos que está no KickOff</t>
  </si>
  <si>
    <t>Versão: 1.0.2</t>
  </si>
  <si>
    <t>Planejamento dos vídeos</t>
  </si>
  <si>
    <t>Título do curso</t>
  </si>
  <si>
    <t>AI Scientist</t>
  </si>
  <si>
    <t>Título da disciplina</t>
  </si>
  <si>
    <t>MLOps e Deploy de Modelos</t>
  </si>
  <si>
    <t>Pessoas responsáveis do projeto</t>
  </si>
  <si>
    <t>Coordenador(a) do curso</t>
  </si>
  <si>
    <t>Ana Raquel</t>
  </si>
  <si>
    <t>Professor(a) principal</t>
  </si>
  <si>
    <t>Cargo do(a) Professor(a) principal</t>
  </si>
  <si>
    <t>Professor</t>
  </si>
  <si>
    <t>Professor(a) de apoio</t>
  </si>
  <si>
    <t>Cargo do(a) Professor(a) de apoio</t>
  </si>
  <si>
    <t>Status da Planilha</t>
  </si>
  <si>
    <t>Aula Num.</t>
  </si>
  <si>
    <t>Video Num</t>
  </si>
  <si>
    <t>Titulo do vídeo</t>
  </si>
  <si>
    <t>Temas abordados no vídeo</t>
  </si>
  <si>
    <t>Tempo estimado
 (em min, somente o número)</t>
  </si>
  <si>
    <t>Da Ideia ao Modelo - Definição, Dados e Treinamento</t>
  </si>
  <si>
    <t>• Visão geral do ciclo de vida completo de um modelo de ML
• Definição do problema e métricas de sucesso (negócio vs técnica)
• Coleta e exploração de dados (EDA) e feature engineering
• Treinamento e validação: cross-validation e tuning de hiperparâmetros</t>
  </si>
  <si>
    <t>Do Modelo ao Artefato - Avaliação, Versionamento e Empacotamento</t>
  </si>
  <si>
    <t>• Avaliação de modelos: métricas técnicas vs métricas de negócio e trade-offs
• Versionamento de modelos e dados (por que versionar; DVC e MLflow)
• Serialização e empacotamento (pickle, joblib, ONNX, SavedModel)
• Conceito de Model Registry</t>
  </si>
  <si>
    <t>Do Artefato à Produção - Deploy, Monitoramento e Retreinamento</t>
  </si>
  <si>
    <t>• Estratégias de implantação: batch vs online
• Monitoramento em produção: data drift, concept drift, model degradation
• Triggers de retreinamento e ciclo contínuo
• Governança de modelos: Model Cards, auditoria e compliance</t>
  </si>
  <si>
    <t>O que é MLOps e Por Que Você Precisa Disso</t>
  </si>
  <si>
    <t>• Por que modelos falham em produção
• MLOps como evolução de DevOps para ML
• Diferenças fundamentais: dados e modelos como artefatos vivos
• Níveis de maturidade MLOps do Google (Nível 0, 1 e 2)</t>
  </si>
  <si>
    <t>Ecossistema de Ferramentas MLOps</t>
  </si>
  <si>
    <t>• Componentes de uma plataforma MLOps: tracking, registry, feature store, orchestration, monitoring
• Ecossistema: MLflow, DVC, W&amp;B, Kubeflow, Airflow, Feast
• Open-source vs plataformas gerenciadas (SageMaker, Vertex AI)
• Como escolher as ferramentas certas</t>
  </si>
  <si>
    <t>MLflow na Prática - Tracking e Model Registry</t>
  </si>
  <si>
    <t>• MLflow como plataforma central de MLOps
• Experiment tracking: logging de parâmetros, métricas e artefatos
• Model Registry: versionamento e transição de estágios (staging → production)
• Integração do MLflow com o restante do pipeline</t>
  </si>
  <si>
    <t>CI/CD para ML - O que Muda em Relação ao Software Tradicional</t>
  </si>
  <si>
    <t>• Revisão de CI/CD no software tradicional
• Por que CI/CD para ML é mais complexo: código, dados e modelo
• Pipeline de CI para ML: testes de dados, modelo e código
• Visão geral do fluxo end-to-end</t>
  </si>
  <si>
    <t>Testes Automatizados para Modelos e Dados</t>
  </si>
  <si>
    <t>• Validação de dados com Great Expectations
• Testes de performance de modelo (thresholds, comparação com baseline)
• Testes de fairness e bias
• Data contracts e estruturação de uma suíte de testes para ML</t>
  </si>
  <si>
    <t>Pipeline de CD e Estratégias de Deploy Seguro</t>
  </si>
  <si>
    <t>• Pipeline de Continuous Delivery: empacotamento, staging, promoção
• Estratégias de deploy seguro: blue-green, canary, shadow mode
• Automação com GitHub Actions e DVC Pipelines
• Triggers de retreinamento (schedule, drift detection)</t>
  </si>
  <si>
    <t>Servindo Modelos com FastAPI</t>
  </si>
  <si>
    <t>• Padrões de serving: batch vs real-time (online) inference
• Construção de API de predição com FastAPI
• Validação de entrada com Pydantic e serialização de respostas
• Documentação automática (Swagger/OpenAPI)</t>
  </si>
  <si>
    <t>Containerizando o Serviço de Predição com Docker</t>
  </si>
  <si>
    <t>• Empacotamento da API em container Docker
• Dockerfile otimizado para ML (multi-stage build, cache de dependências)
• Docker Compose para serviços compostos (API + cache + métricas)
• Boas práticas: health checks, graceful shutdown, variáveis de ambiente</t>
  </si>
  <si>
    <t>Escalabilidade, Monitoramento e Orquestração</t>
  </si>
  <si>
    <t>• Escalabilidade: load balancing, réplicas horizontais, auto-scaling
• Monitoramento: logging estruturado e métricas de latência (p50, p95, p99)
• Detecção de data drift em produção
• Introdução a Kubernetes: pods, services, deployments</t>
  </si>
  <si>
    <t>Configurações</t>
  </si>
  <si>
    <t>Mínimo</t>
  </si>
  <si>
    <t>Máximo</t>
  </si>
  <si>
    <t>Aula</t>
  </si>
  <si>
    <t>Base Aula</t>
  </si>
  <si>
    <t>Rafael Tavares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</si>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</sst>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sz val="11"/>
      <color rgb="FFFFFFFF"/>
      <name val="Arial"/>
      <family val="2"/>
    </font>
    <font>
      <u/>
      <sz val="12"/>
      <color theme="10"/>
      <name val="Aptos Narrow"/>
      <family val="2"/>
      <scheme val="minor"/>
    </font>
    <font>
      <b/>
      <sz val="11"/>
      <color theme="1"/>
      <name val="Roboto"/>
    </font>
    <font>
      <sz val="12"/>
      <color theme="1"/>
      <name val="Roboto"/>
    </font>
    <font>
      <b/>
      <sz val="12"/>
      <color theme="1"/>
      <name val="Roboto"/>
    </font>
    <font>
      <b/>
      <sz val="16"/>
      <color theme="1"/>
      <name val="Roboto"/>
    </font>
    <font>
      <u/>
      <sz val="12"/>
      <color theme="10"/>
      <name val="Roboto"/>
    </font>
    <font>
      <sz val="11"/>
      <color rgb="FFFFFFFF"/>
      <name val="Roboto"/>
    </font>
    <font>
      <b/>
      <sz val="11"/>
      <color rgb="FFFFFFFF"/>
      <name val="Roboto"/>
    </font>
    <font>
      <sz val="14"/>
      <color theme="1"/>
      <name val="Roboto"/>
    </font>
    <font>
      <u/>
      <sz val="14"/>
      <color theme="10"/>
      <name val="Roboto"/>
    </font>
    <font>
      <b/>
      <sz val="14"/>
      <color theme="1"/>
      <name val="Roboto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2" borderId="0" xfId="0" applyFill="1"/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5" fillId="2" borderId="0" xfId="0" applyFont="1" applyFill="1"/>
    <xf numFmtId="0" fontId="5" fillId="2" borderId="2" xfId="0" applyFont="1" applyFill="1" applyBorder="1" applyAlignment="1">
      <alignment wrapText="1"/>
    </xf>
    <xf numFmtId="0" fontId="12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0" fillId="3" borderId="0" xfId="0" applyFill="1" applyAlignment="1">
      <alignment wrapText="1"/>
    </xf>
    <xf numFmtId="0" fontId="0" fillId="2" borderId="2" xfId="0" applyFill="1" applyBorder="1" applyAlignment="1" applyProtection="1">
      <alignment wrapText="1"/>
      <protection locked="0"/>
    </xf>
    <xf numFmtId="0" fontId="0" fillId="2" borderId="0" xfId="0" applyFill="1" applyAlignment="1">
      <alignment wrapText="1"/>
    </xf>
    <xf numFmtId="0" fontId="13" fillId="2" borderId="5" xfId="0" applyFont="1" applyFill="1" applyBorder="1" applyAlignment="1">
      <alignment horizontal="right" wrapText="1"/>
    </xf>
    <xf numFmtId="0" fontId="0" fillId="2" borderId="5" xfId="0" applyFill="1" applyBorder="1" applyAlignment="1">
      <alignment wrapText="1"/>
    </xf>
    <xf numFmtId="0" fontId="15" fillId="0" borderId="2" xfId="0" applyFont="1" applyBorder="1" applyProtection="1">
      <protection locked="0"/>
    </xf>
    <xf numFmtId="0" fontId="15" fillId="0" borderId="2" xfId="0" applyFont="1" applyBorder="1" applyAlignment="1" applyProtection="1">
      <alignment wrapText="1"/>
      <protection locked="0"/>
    </xf>
    <xf numFmtId="0" fontId="15" fillId="2" borderId="2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14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1" fillId="3" borderId="1" xfId="0" applyFont="1" applyFill="1" applyBorder="1" applyAlignment="1">
      <alignment horizontal="center" vertical="top" wrapText="1"/>
    </xf>
    <xf numFmtId="0" fontId="0" fillId="2" borderId="0" xfId="0" applyFill="1"/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9" fillId="3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</cellXfs>
  <cellStyles count="2">
    <cellStyle name="Hi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ttps://www.youtube.com/watch?v=LwwSsYriapk" TargetMode="External"/><Relationship Id="rId2" Type="http://schemas.openxmlformats.org/officeDocument/2006/relationships/hyperlink" Target="mailto:https://www.textconverter.io/pt/speech-time/" TargetMode="External"/><Relationship Id="rId1" Type="http://schemas.openxmlformats.org/officeDocument/2006/relationships/hyperlink" Target="mailto:https://drive.google.com/file/d/1DaXjhM1cWGhW_-JFORAZo-HaiAUzz2E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3" workbookViewId="0">
      <selection activeCell="A3" sqref="A3:D3"/>
    </sheetView>
  </sheetViews>
  <sheetFormatPr defaultColWidth="10.6328125" defaultRowHeight="15"/>
  <cols>
    <col min="1" max="1" width="39.6328125" style="1" customWidth="1"/>
    <col min="2" max="2" width="30.6328125" style="1" customWidth="1"/>
    <col min="3" max="3" width="45.453125" style="1" customWidth="1"/>
    <col min="4" max="4" width="38.1796875" style="1" customWidth="1"/>
    <col min="5" max="6" width="10.6328125" style="1" customWidth="1"/>
    <col min="7" max="16384" width="10.6328125" style="1"/>
  </cols>
  <sheetData>
    <row r="1" spans="1:4" ht="82.95" customHeight="1">
      <c r="A1" s="35" t="e">
        <v>#VALUE!</v>
      </c>
      <c r="B1" s="36"/>
      <c r="C1" s="36"/>
      <c r="D1" s="36"/>
    </row>
    <row r="2" spans="1:4" ht="21" customHeight="1">
      <c r="A2" s="39" t="s">
        <v>32</v>
      </c>
      <c r="B2" s="29"/>
      <c r="C2" s="29"/>
      <c r="D2" s="30"/>
    </row>
    <row r="3" spans="1:4" ht="79.2" customHeight="1">
      <c r="A3" s="37" t="s">
        <v>33</v>
      </c>
      <c r="B3" s="29"/>
      <c r="C3" s="29"/>
      <c r="D3" s="30"/>
    </row>
    <row r="4" spans="1:4" ht="37.200000000000003" customHeight="1">
      <c r="A4" s="40" t="s">
        <v>34</v>
      </c>
      <c r="B4" s="29"/>
      <c r="C4" s="30"/>
      <c r="D4" s="15" t="s">
        <v>35</v>
      </c>
    </row>
    <row r="5" spans="1:4" ht="97.95" customHeight="1">
      <c r="A5" s="37" t="s">
        <v>36</v>
      </c>
      <c r="B5" s="29"/>
      <c r="C5" s="30"/>
      <c r="D5" s="15" t="s">
        <v>37</v>
      </c>
    </row>
    <row r="6" spans="1:4">
      <c r="A6" s="42"/>
      <c r="B6" s="29"/>
      <c r="C6" s="29"/>
      <c r="D6" s="30"/>
    </row>
    <row r="7" spans="1:4" ht="21" customHeight="1">
      <c r="A7" s="39" t="s">
        <v>38</v>
      </c>
      <c r="B7" s="29"/>
      <c r="C7" s="29"/>
      <c r="D7" s="30"/>
    </row>
    <row r="8" spans="1:4" ht="192" customHeight="1">
      <c r="A8" s="37" t="s">
        <v>39</v>
      </c>
      <c r="B8" s="29"/>
      <c r="C8" s="29"/>
      <c r="D8" s="30"/>
    </row>
    <row r="9" spans="1:4" ht="106.2" customHeight="1">
      <c r="A9" s="37" t="s">
        <v>40</v>
      </c>
      <c r="B9" s="29"/>
      <c r="C9" s="29"/>
      <c r="D9" s="30"/>
    </row>
    <row r="10" spans="1:4" ht="76.2" customHeight="1">
      <c r="A10" s="39" t="s">
        <v>41</v>
      </c>
      <c r="B10" s="29"/>
      <c r="C10" s="29"/>
      <c r="D10" s="30"/>
    </row>
    <row r="11" spans="1:4" ht="82.2" customHeight="1">
      <c r="A11" s="37" t="s">
        <v>42</v>
      </c>
      <c r="B11" s="29"/>
      <c r="C11" s="29"/>
      <c r="D11" s="30"/>
    </row>
    <row r="12" spans="1:4" ht="34.200000000000003" customHeight="1">
      <c r="A12" s="43" t="s">
        <v>43</v>
      </c>
      <c r="B12" s="29"/>
      <c r="C12" s="29"/>
      <c r="D12" s="30"/>
    </row>
    <row r="13" spans="1:4" ht="18" customHeight="1">
      <c r="A13" s="2" t="s">
        <v>44</v>
      </c>
      <c r="B13" s="2" t="s">
        <v>45</v>
      </c>
      <c r="C13" s="2" t="s">
        <v>46</v>
      </c>
      <c r="D13" s="2" t="s">
        <v>47</v>
      </c>
    </row>
    <row r="14" spans="1:4" ht="108" customHeight="1">
      <c r="A14" s="3" t="s">
        <v>48</v>
      </c>
      <c r="B14" s="3" t="s">
        <v>49</v>
      </c>
      <c r="C14" s="3" t="s">
        <v>50</v>
      </c>
      <c r="D14" s="3" t="s">
        <v>51</v>
      </c>
    </row>
    <row r="15" spans="1:4" ht="16.95" customHeight="1">
      <c r="A15" s="38"/>
      <c r="B15" s="29"/>
      <c r="C15" s="29"/>
      <c r="D15" s="30"/>
    </row>
    <row r="16" spans="1:4" ht="21" customHeight="1">
      <c r="A16" s="40" t="s">
        <v>52</v>
      </c>
      <c r="B16" s="29"/>
      <c r="C16" s="30"/>
      <c r="D16" s="14" t="s">
        <v>35</v>
      </c>
    </row>
    <row r="17" spans="1:4" ht="16.95" customHeight="1">
      <c r="A17" s="41"/>
      <c r="B17" s="29"/>
      <c r="C17" s="29"/>
      <c r="D17" s="30"/>
    </row>
    <row r="18" spans="1:4" ht="55.2" customHeight="1">
      <c r="A18" s="37" t="s">
        <v>53</v>
      </c>
      <c r="B18" s="29"/>
      <c r="C18" s="29"/>
      <c r="D18" s="30"/>
    </row>
    <row r="19" spans="1:4" ht="57" customHeight="1">
      <c r="A19" s="37" t="s">
        <v>54</v>
      </c>
      <c r="B19" s="29"/>
      <c r="C19" s="29"/>
      <c r="D19" s="30"/>
    </row>
    <row r="20" spans="1:4" ht="33" customHeight="1">
      <c r="A20" s="37" t="s">
        <v>55</v>
      </c>
      <c r="B20" s="29"/>
      <c r="C20" s="29"/>
      <c r="D20" s="30"/>
    </row>
    <row r="22" spans="1:4">
      <c r="A22" s="1" t="s">
        <v>56</v>
      </c>
    </row>
  </sheetData>
  <sheetProtection algorithmName="SHA-512" hashValue="H2CYBCNUvAbd8VZm3FLbevK1UvvMqoJsPWlPbAonx3LnPFiXyJIiKvoI34F7WGkukGRF1PQ6TLwz8D0v7P8pPQ==" saltValue="kGyVJMv5AG1sz0fAWDe6WA==" spinCount="100000" sheet="1" selectLockedCells="1"/>
  <mergeCells count="18">
    <mergeCell ref="A1:D1"/>
    <mergeCell ref="A17:D17"/>
    <mergeCell ref="A18:D18"/>
    <mergeCell ref="A9:D9"/>
    <mergeCell ref="A8:D8"/>
    <mergeCell ref="A4:C4"/>
    <mergeCell ref="A6:D6"/>
    <mergeCell ref="A5:C5"/>
    <mergeCell ref="A12:D12"/>
    <mergeCell ref="A3:D3"/>
    <mergeCell ref="A2:D2"/>
    <mergeCell ref="A20:D20"/>
    <mergeCell ref="A15:D15"/>
    <mergeCell ref="A7:D7"/>
    <mergeCell ref="A19:D19"/>
    <mergeCell ref="A11:D11"/>
    <mergeCell ref="A10:D10"/>
    <mergeCell ref="A16:C16"/>
  </mergeCells>
  <hyperlinks>
    <hyperlink ref="D4" r:id="rId1" xr:uid="{00000000-0004-0000-0000-000000000000}"/>
    <hyperlink ref="D5" r:id="rId2" xr:uid="{00000000-0004-0000-0000-000001000000}"/>
    <hyperlink ref="D16" r:id="rId3" xr:uid="{00000000-0004-0000-0000-000002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4" sqref="B4:D4"/>
    </sheetView>
  </sheetViews>
  <sheetFormatPr defaultColWidth="10.6328125" defaultRowHeight="15"/>
  <cols>
    <col min="1" max="1" width="39" style="1" customWidth="1"/>
    <col min="2" max="2" width="59.6328125" style="1" customWidth="1"/>
    <col min="3" max="4" width="10.6328125" style="1" customWidth="1"/>
    <col min="5" max="16384" width="10.6328125" style="1"/>
  </cols>
  <sheetData>
    <row r="1" spans="1:4" ht="133.94999999999999" customHeight="1">
      <c r="A1" s="35" t="e">
        <v>#VALUE!</v>
      </c>
      <c r="B1" s="36"/>
      <c r="C1" s="36"/>
      <c r="D1" s="36"/>
    </row>
    <row r="2" spans="1:4" ht="22.95" customHeight="1">
      <c r="A2" s="31" t="s">
        <v>57</v>
      </c>
      <c r="B2" s="29"/>
      <c r="C2" s="29"/>
      <c r="D2" s="30"/>
    </row>
    <row r="3" spans="1:4" ht="22.95" customHeight="1">
      <c r="A3" s="6" t="s">
        <v>58</v>
      </c>
      <c r="B3" s="32" t="s">
        <v>59</v>
      </c>
      <c r="C3" s="33"/>
      <c r="D3" s="34"/>
    </row>
    <row r="4" spans="1:4" ht="22.95" customHeight="1">
      <c r="A4" s="6" t="s">
        <v>60</v>
      </c>
      <c r="B4" s="32" t="s">
        <v>61</v>
      </c>
      <c r="C4" s="33"/>
      <c r="D4" s="34"/>
    </row>
    <row r="5" spans="1:4" ht="22.95" customHeight="1">
      <c r="A5" s="31"/>
      <c r="B5" s="29"/>
      <c r="C5" s="29"/>
      <c r="D5" s="30"/>
    </row>
    <row r="6" spans="1:4" ht="22.95" customHeight="1">
      <c r="A6" s="31"/>
      <c r="B6" s="29"/>
      <c r="C6" s="29"/>
      <c r="D6" s="30"/>
    </row>
    <row r="7" spans="1:4" ht="22.95" customHeight="1">
      <c r="A7" s="31" t="s">
        <v>62</v>
      </c>
      <c r="B7" s="29"/>
      <c r="C7" s="29"/>
      <c r="D7" s="30"/>
    </row>
    <row r="8" spans="1:4" ht="22.95" customHeight="1">
      <c r="A8" s="6" t="s">
        <v>63</v>
      </c>
      <c r="B8" s="32" t="s">
        <v>64</v>
      </c>
      <c r="C8" s="33"/>
      <c r="D8" s="34"/>
    </row>
    <row r="9" spans="1:4" ht="22.95" customHeight="1">
      <c r="A9" s="6" t="s">
        <v>65</v>
      </c>
      <c r="B9" s="32" t="s">
        <v>105</v>
      </c>
      <c r="C9" s="33"/>
      <c r="D9" s="34"/>
    </row>
    <row r="10" spans="1:4" ht="22.95" customHeight="1">
      <c r="A10" s="6" t="s">
        <v>66</v>
      </c>
      <c r="B10" s="32" t="s">
        <v>67</v>
      </c>
      <c r="C10" s="33"/>
      <c r="D10" s="34"/>
    </row>
    <row r="11" spans="1:4" ht="22.95" customHeight="1">
      <c r="A11" s="6" t="s">
        <v>68</v>
      </c>
      <c r="B11" s="32"/>
      <c r="C11" s="33"/>
      <c r="D11" s="34"/>
    </row>
    <row r="12" spans="1:4" ht="22.95" customHeight="1">
      <c r="A12" s="6" t="s">
        <v>69</v>
      </c>
      <c r="B12" s="32"/>
      <c r="C12" s="33"/>
      <c r="D12" s="34"/>
    </row>
    <row r="13" spans="1:4" ht="22.95" customHeight="1">
      <c r="A13" s="31" t="s">
        <v>9</v>
      </c>
      <c r="B13" s="29"/>
      <c r="C13" s="29"/>
      <c r="D13" s="30"/>
    </row>
    <row r="14" spans="1:4" ht="34.950000000000003" customHeight="1">
      <c r="A14" s="13" t="s">
        <v>70</v>
      </c>
      <c r="B14" s="28" t="str">
        <f>IF(Aulas!O14&gt;0,"Erro: verifique a aba Aulas",IF(Vídeos!J48&gt;0,"Erro: verifique a aba vídeos","OK"))</f>
        <v>OK</v>
      </c>
      <c r="C14" s="29"/>
      <c r="D14" s="30"/>
    </row>
    <row r="15" spans="1:4" ht="15.6">
      <c r="A15" s="4"/>
    </row>
  </sheetData>
  <sheetProtection algorithmName="SHA-512" hashValue="6dLsDj0GqWZgmNmMhthmWthMVBKWdGNX4dh5gPuB5c3P437XgaIZOW0s88Ud+5JTbAvBPOyKoMI3Ic/Q4mCjkA==" saltValue="1MsVTe/4KW6JZmsczyvAVg==" spinCount="100000" sheet="1" objects="1" scenarios="1" selectLockedCells="1"/>
  <mergeCells count="14">
    <mergeCell ref="A1:D1"/>
    <mergeCell ref="B3:D3"/>
    <mergeCell ref="A5:D5"/>
    <mergeCell ref="A2:D2"/>
    <mergeCell ref="B14:D14"/>
    <mergeCell ref="A6:D6"/>
    <mergeCell ref="B8:D8"/>
    <mergeCell ref="B4:D4"/>
    <mergeCell ref="B9:D9"/>
    <mergeCell ref="A7:D7"/>
    <mergeCell ref="B12:D12"/>
    <mergeCell ref="A13:D13"/>
    <mergeCell ref="B10:D10"/>
    <mergeCell ref="B11:D11"/>
  </mergeCells>
  <conditionalFormatting sqref="B14">
    <cfRule type="containsText" dxfId="5" priority="1" operator="containsText" text="Erro">
      <formula>NOT(ISERROR(SEARCH("Erro",B14)))</formula>
    </cfRule>
    <cfRule type="containsText" dxfId="4" priority="2" operator="containsText" text="OK">
      <formula>NOT(ISERROR(SEARCH("OK",B14)))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tabSelected="1" topLeftCell="C1" workbookViewId="0">
      <selection activeCell="E3" sqref="E3"/>
    </sheetView>
  </sheetViews>
  <sheetFormatPr defaultColWidth="10.6328125" defaultRowHeight="15"/>
  <cols>
    <col min="1" max="1" width="11.1796875" style="7" bestFit="1" customWidth="1"/>
    <col min="2" max="2" width="40" style="7" customWidth="1"/>
    <col min="3" max="3" width="54.6328125" style="7" customWidth="1"/>
    <col min="4" max="4" width="37.1796875" style="7" customWidth="1"/>
    <col min="5" max="6" width="30.1796875" style="7" customWidth="1"/>
    <col min="7" max="7" width="27.1796875" style="7" customWidth="1"/>
    <col min="8" max="8" width="28.453125" style="7" customWidth="1"/>
    <col min="9" max="9" width="17.1796875" style="7" customWidth="1"/>
    <col min="10" max="10" width="40.6328125" style="7" customWidth="1"/>
    <col min="11" max="11" width="10.6328125" style="7" hidden="1" customWidth="1"/>
    <col min="12" max="12" width="13" style="7" hidden="1" customWidth="1"/>
    <col min="13" max="13" width="72.6328125" style="7" hidden="1" customWidth="1"/>
    <col min="14" max="15" width="10.6328125" style="7" hidden="1" customWidth="1"/>
    <col min="16" max="17" width="10.6328125" style="7" customWidth="1"/>
    <col min="18" max="16384" width="10.6328125" style="7"/>
  </cols>
  <sheetData>
    <row r="1" spans="1:15" ht="117" customHeight="1">
      <c r="A1" s="44" t="e">
        <v>#VALUE!</v>
      </c>
      <c r="B1" s="45"/>
      <c r="C1" s="45"/>
      <c r="D1" s="45"/>
      <c r="E1" s="45"/>
      <c r="F1" s="45"/>
      <c r="G1" s="45"/>
      <c r="H1" s="45"/>
      <c r="I1" s="45"/>
      <c r="J1" s="45"/>
    </row>
    <row r="2" spans="1:15" ht="51" customHeight="1">
      <c r="A2" s="10" t="s">
        <v>0</v>
      </c>
      <c r="B2" s="11" t="s">
        <v>1</v>
      </c>
      <c r="C2" s="10" t="s">
        <v>2</v>
      </c>
      <c r="D2" s="10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5" t="s">
        <v>9</v>
      </c>
    </row>
    <row r="3" spans="1:15" ht="165">
      <c r="A3" s="8">
        <v>1</v>
      </c>
      <c r="B3" s="25" t="s">
        <v>10</v>
      </c>
      <c r="C3" s="25" t="s">
        <v>11</v>
      </c>
      <c r="D3" s="16" t="s">
        <v>12</v>
      </c>
      <c r="E3" s="16" t="s">
        <v>13</v>
      </c>
      <c r="F3" s="16" t="s">
        <v>14</v>
      </c>
      <c r="G3" s="24" t="s">
        <v>15</v>
      </c>
      <c r="H3" s="24" t="s">
        <v>106</v>
      </c>
      <c r="I3" s="8">
        <f>SUMIF(Vídeos!$A$3:$A$47,Aulas!A3,Vídeos!$E$3:$E$47)</f>
        <v>60</v>
      </c>
      <c r="J3" s="9" t="str">
        <f t="shared" ref="J3:J12" si="0">IF(K3&lt;&gt;"",K3,IF(L3&lt;&gt;"",L3,IF(M3&lt;&gt;"",M3,IF(N3&lt;&gt;"",N3,"OK"))))</f>
        <v>OK</v>
      </c>
      <c r="K3" s="1" t="str">
        <f t="shared" ref="K3:K12" si="1">IF(AND(I3&gt;0,B3=""),"Erro: Aula Sem Título","")</f>
        <v/>
      </c>
      <c r="L3" s="7" t="str">
        <f t="shared" ref="L3:L12" si="2">IF(AND(B3="",OR(C3&lt;&gt;"",I3&gt;0,G3&lt;&gt;"",H3&lt;&gt;"")),"Erro: Aula sem título","")</f>
        <v/>
      </c>
      <c r="M3" s="7" t="str">
        <f t="shared" ref="M3:M12" si="3">IF(B3="","",IF(C3="","Erro: Aula sem Objetivo de aprendizagem",IF(G3="","Erro: Aula sem informação de material",IF(H3="","Erro: Aula sem informação de código",IF(D3="","Erro: Aula sem a informação da teoria abordada",IF(E3="","Erro: Aula sem informação do assunto que pode ser aprofundado na aula",IF(C3="","Erro: Aula sem Livro/Artigo usado como referência","")))))))</f>
        <v/>
      </c>
      <c r="N3" s="7" t="str">
        <f>IF(B3="","",IF(OR(I3&lt;Configurações!$B$4,I3&gt;Configurações!$C$4),_xlfn.CONCAT("Erro: Aula com tempo menor que ",Configurações!$B$4," min ou maior que ",Configurações!$C$4," min. Verifique a aba Vídeos."),""))</f>
        <v/>
      </c>
      <c r="O3" s="1">
        <f t="shared" ref="O3:O13" si="4">IF(J3&lt;&gt;"OK",1,0)</f>
        <v>0</v>
      </c>
    </row>
    <row r="4" spans="1:15" ht="150">
      <c r="A4" s="8">
        <v>2</v>
      </c>
      <c r="B4" s="25" t="s">
        <v>16</v>
      </c>
      <c r="C4" s="25" t="s">
        <v>17</v>
      </c>
      <c r="D4" s="17" t="s">
        <v>18</v>
      </c>
      <c r="E4" s="17" t="s">
        <v>19</v>
      </c>
      <c r="F4" s="17" t="s">
        <v>20</v>
      </c>
      <c r="G4" s="23" t="s">
        <v>15</v>
      </c>
      <c r="H4" s="24" t="s">
        <v>106</v>
      </c>
      <c r="I4" s="8">
        <f>SUMIF(Vídeos!$A$3:$A$47,Aulas!A4,Vídeos!$E$3:$E$47)</f>
        <v>60</v>
      </c>
      <c r="J4" s="9" t="str">
        <f t="shared" si="0"/>
        <v>OK</v>
      </c>
      <c r="K4" s="1" t="str">
        <f t="shared" si="1"/>
        <v/>
      </c>
      <c r="L4" s="7" t="str">
        <f t="shared" si="2"/>
        <v/>
      </c>
      <c r="M4" s="7" t="str">
        <f t="shared" si="3"/>
        <v/>
      </c>
      <c r="N4" s="7" t="str">
        <f>IF(B4="","",IF(OR(I4&lt;Configurações!$B$4,I4&gt;Configurações!$C$4),_xlfn.CONCAT("Erro: Aula com tempo menor que ",Configurações!$B$4," min ou maior que ",Configurações!$C$4," min. Verifique a aba Vídeos."),""))</f>
        <v/>
      </c>
      <c r="O4" s="1">
        <f t="shared" si="4"/>
        <v>0</v>
      </c>
    </row>
    <row r="5" spans="1:15" ht="165">
      <c r="A5" s="8">
        <v>3</v>
      </c>
      <c r="B5" s="25" t="s">
        <v>21</v>
      </c>
      <c r="C5" s="25" t="s">
        <v>22</v>
      </c>
      <c r="D5" s="17" t="s">
        <v>23</v>
      </c>
      <c r="E5" s="17" t="s">
        <v>24</v>
      </c>
      <c r="F5" s="17" t="s">
        <v>25</v>
      </c>
      <c r="G5" s="23" t="s">
        <v>15</v>
      </c>
      <c r="H5" s="24" t="s">
        <v>106</v>
      </c>
      <c r="I5" s="8">
        <f>SUMIF(Vídeos!$A$3:$A$47,Aulas!A5,Vídeos!$E$3:$E$47)</f>
        <v>60</v>
      </c>
      <c r="J5" s="9" t="str">
        <f t="shared" si="0"/>
        <v>OK</v>
      </c>
      <c r="K5" s="1" t="str">
        <f t="shared" si="1"/>
        <v/>
      </c>
      <c r="L5" s="7" t="str">
        <f t="shared" si="2"/>
        <v/>
      </c>
      <c r="M5" s="7" t="str">
        <f t="shared" si="3"/>
        <v/>
      </c>
      <c r="N5" s="7" t="str">
        <f>IF(B5="","",IF(OR(I5&lt;Configurações!$B$4,I5&gt;Configurações!$C$4),_xlfn.CONCAT("Erro: Aula com tempo menor que ",Configurações!$B$4," min ou maior que ",Configurações!$C$4," min. Verifique a aba Vídeos."),""))</f>
        <v/>
      </c>
      <c r="O5" s="1">
        <f t="shared" si="4"/>
        <v>0</v>
      </c>
    </row>
    <row r="6" spans="1:15" ht="150">
      <c r="A6" s="8">
        <v>4</v>
      </c>
      <c r="B6" s="25" t="s">
        <v>26</v>
      </c>
      <c r="C6" s="25" t="s">
        <v>27</v>
      </c>
      <c r="D6" s="17" t="s">
        <v>28</v>
      </c>
      <c r="E6" s="17" t="s">
        <v>29</v>
      </c>
      <c r="F6" s="17" t="s">
        <v>30</v>
      </c>
      <c r="G6" s="23" t="s">
        <v>15</v>
      </c>
      <c r="H6" s="24" t="s">
        <v>106</v>
      </c>
      <c r="I6" s="8">
        <f>SUMIF(Vídeos!$A$3:$A$47,Aulas!A6,Vídeos!$E$3:$E$47)</f>
        <v>60</v>
      </c>
      <c r="J6" s="9" t="str">
        <f t="shared" si="0"/>
        <v>OK</v>
      </c>
      <c r="K6" s="1" t="str">
        <f t="shared" si="1"/>
        <v/>
      </c>
      <c r="L6" s="7" t="str">
        <f t="shared" si="2"/>
        <v/>
      </c>
      <c r="M6" s="7" t="str">
        <f t="shared" si="3"/>
        <v/>
      </c>
      <c r="N6" s="7" t="str">
        <f>IF(B6="","",IF(OR(I6&lt;Configurações!$B$4,I6&gt;Configurações!$C$4),_xlfn.CONCAT("Erro: Aula com tempo menor que ",Configurações!$B$4," min ou maior que ",Configurações!$C$4," min. Verifique a aba Vídeos."),""))</f>
        <v/>
      </c>
      <c r="O6" s="1">
        <f t="shared" si="4"/>
        <v>0</v>
      </c>
    </row>
    <row r="7" spans="1:15" ht="51" customHeight="1">
      <c r="A7" s="8">
        <v>5</v>
      </c>
      <c r="B7" s="25"/>
      <c r="C7" s="25"/>
      <c r="D7" s="17"/>
      <c r="E7" s="17"/>
      <c r="F7" s="17"/>
      <c r="G7" s="23"/>
      <c r="H7" s="24"/>
      <c r="I7" s="8">
        <f>SUMIF(Vídeos!$A$3:$A$47,Aulas!A7,Vídeos!$E$3:$E$47)</f>
        <v>0</v>
      </c>
      <c r="J7" s="9" t="str">
        <f t="shared" si="0"/>
        <v>OK</v>
      </c>
      <c r="K7" s="1" t="str">
        <f t="shared" si="1"/>
        <v/>
      </c>
      <c r="L7" s="7" t="str">
        <f t="shared" si="2"/>
        <v/>
      </c>
      <c r="M7" s="7" t="str">
        <f t="shared" si="3"/>
        <v/>
      </c>
      <c r="N7" s="7" t="str">
        <f>IF(B7="","",IF(OR(I7&lt;Configurações!$B$4,I7&gt;Configurações!$C$4),_xlfn.CONCAT("Erro: Aula com tempo menor que ",Configurações!$B$4," min ou maior que ",Configurações!$C$4," min. Verifique a aba Vídeos."),""))</f>
        <v/>
      </c>
      <c r="O7" s="1">
        <f t="shared" si="4"/>
        <v>0</v>
      </c>
    </row>
    <row r="8" spans="1:15" ht="67.95" customHeight="1">
      <c r="A8" s="8">
        <v>6</v>
      </c>
      <c r="B8" s="17"/>
      <c r="C8" s="17"/>
      <c r="D8" s="17"/>
      <c r="E8" s="17"/>
      <c r="F8" s="17"/>
      <c r="G8" s="17"/>
      <c r="H8" s="17"/>
      <c r="I8" s="8">
        <f>SUMIF(Vídeos!$A$3:$A$47,Aulas!A8,Vídeos!$E$3:$E$47)</f>
        <v>0</v>
      </c>
      <c r="J8" s="9" t="str">
        <f t="shared" si="0"/>
        <v>OK</v>
      </c>
      <c r="K8" s="1" t="str">
        <f t="shared" si="1"/>
        <v/>
      </c>
      <c r="L8" s="7" t="str">
        <f t="shared" si="2"/>
        <v/>
      </c>
      <c r="M8" s="7" t="str">
        <f t="shared" si="3"/>
        <v/>
      </c>
      <c r="N8" s="7" t="str">
        <f>IF(B8="","",IF(OR(I8&lt;Configurações!$B$4,I8&gt;Configurações!$C$4),_xlfn.CONCAT("Erro: Aula com tempo menor que ",Configurações!$B$4," min ou maior que ",Configurações!$C$4," min. Verifique a aba Vídeos."),""))</f>
        <v/>
      </c>
      <c r="O8" s="1">
        <f t="shared" si="4"/>
        <v>0</v>
      </c>
    </row>
    <row r="9" spans="1:15" ht="51" customHeight="1">
      <c r="A9" s="8">
        <v>7</v>
      </c>
      <c r="B9" s="17"/>
      <c r="C9" s="17"/>
      <c r="D9" s="17"/>
      <c r="E9" s="17"/>
      <c r="F9" s="17"/>
      <c r="G9" s="17"/>
      <c r="H9" s="17"/>
      <c r="I9" s="8">
        <f>SUMIF(Vídeos!$A$3:$A$47,Aulas!A9,Vídeos!$E$3:$E$47)</f>
        <v>0</v>
      </c>
      <c r="J9" s="9" t="str">
        <f t="shared" si="0"/>
        <v>OK</v>
      </c>
      <c r="K9" s="1" t="str">
        <f t="shared" si="1"/>
        <v/>
      </c>
      <c r="L9" s="7" t="str">
        <f t="shared" si="2"/>
        <v/>
      </c>
      <c r="M9" s="7" t="str">
        <f t="shared" si="3"/>
        <v/>
      </c>
      <c r="N9" s="7" t="str">
        <f>IF(B9="","",IF(OR(I9&lt;Configurações!$B$4,I9&gt;Configurações!$C$4),_xlfn.CONCAT("Erro: Aula com tempo menor que ",Configurações!$B$4," min ou maior que ",Configurações!$C$4," min. Verifique a aba Vídeos."),""))</f>
        <v/>
      </c>
      <c r="O9" s="1">
        <f t="shared" si="4"/>
        <v>0</v>
      </c>
    </row>
    <row r="10" spans="1:15" ht="67.95" customHeight="1">
      <c r="A10" s="8">
        <v>8</v>
      </c>
      <c r="B10" s="17"/>
      <c r="C10" s="17"/>
      <c r="D10" s="17"/>
      <c r="E10" s="17"/>
      <c r="F10" s="17"/>
      <c r="G10" s="17"/>
      <c r="H10" s="17"/>
      <c r="I10" s="8">
        <f>SUMIF(Vídeos!$A$3:$A$47,Aulas!A10,Vídeos!$E$3:$E$47)</f>
        <v>0</v>
      </c>
      <c r="J10" s="9" t="str">
        <f t="shared" si="0"/>
        <v>OK</v>
      </c>
      <c r="K10" s="1" t="str">
        <f t="shared" si="1"/>
        <v/>
      </c>
      <c r="L10" s="7" t="str">
        <f t="shared" si="2"/>
        <v/>
      </c>
      <c r="M10" s="7" t="str">
        <f t="shared" si="3"/>
        <v/>
      </c>
      <c r="N10" s="7" t="str">
        <f>IF(B10="","",IF(OR(I10&lt;Configurações!$B$4,I10&gt;Configurações!$C$4),_xlfn.CONCAT("Erro: Aula com tempo menor que ",Configurações!$B$4," min ou maior que ",Configurações!$C$4," min. Verifique a aba Vídeos."),""))</f>
        <v/>
      </c>
      <c r="O10" s="1">
        <f t="shared" si="4"/>
        <v>0</v>
      </c>
    </row>
    <row r="11" spans="1:15" ht="34.049999999999997" customHeight="1">
      <c r="A11" s="8">
        <v>9</v>
      </c>
      <c r="B11" s="17"/>
      <c r="C11" s="17"/>
      <c r="D11" s="17"/>
      <c r="E11" s="17"/>
      <c r="F11" s="17"/>
      <c r="G11" s="17"/>
      <c r="H11" s="17"/>
      <c r="I11" s="8">
        <f>SUMIF(Vídeos!$A$3:$A$47,Aulas!A11,Vídeos!$E$3:$E$47)</f>
        <v>0</v>
      </c>
      <c r="J11" s="9" t="str">
        <f t="shared" si="0"/>
        <v>OK</v>
      </c>
      <c r="K11" s="1" t="str">
        <f t="shared" si="1"/>
        <v/>
      </c>
      <c r="L11" s="7" t="str">
        <f t="shared" si="2"/>
        <v/>
      </c>
      <c r="M11" s="7" t="str">
        <f t="shared" si="3"/>
        <v/>
      </c>
      <c r="N11" s="7" t="str">
        <f>IF(B11="","",IF(OR(I11&lt;Configurações!$B$4,I11&gt;Configurações!$C$4),_xlfn.CONCAT("Erro: Aula com tempo menor que ",Configurações!$B$4," min ou maior que ",Configurações!$C$4," min. Verifique a aba Vídeos."),""))</f>
        <v/>
      </c>
      <c r="O11" s="1">
        <f t="shared" si="4"/>
        <v>0</v>
      </c>
    </row>
    <row r="12" spans="1:15" ht="31.95" customHeight="1">
      <c r="A12" s="8">
        <v>10</v>
      </c>
      <c r="B12" s="17"/>
      <c r="C12" s="17"/>
      <c r="D12" s="17"/>
      <c r="E12" s="17"/>
      <c r="F12" s="17"/>
      <c r="G12" s="17"/>
      <c r="H12" s="17"/>
      <c r="I12" s="8">
        <f>SUMIF(Vídeos!$A$3:$A$47,Aulas!A12,Vídeos!$E$3:$E$47)</f>
        <v>0</v>
      </c>
      <c r="J12" s="9" t="str">
        <f t="shared" si="0"/>
        <v>OK</v>
      </c>
      <c r="K12" s="1" t="str">
        <f t="shared" si="1"/>
        <v/>
      </c>
      <c r="L12" s="7" t="str">
        <f t="shared" si="2"/>
        <v/>
      </c>
      <c r="M12" s="7" t="str">
        <f t="shared" si="3"/>
        <v/>
      </c>
      <c r="N12" s="7" t="str">
        <f>IF(B12="","",IF(OR(I12&lt;Configurações!$B$4,I12&gt;Configurações!$C$4),_xlfn.CONCAT("Erro: Aula com tempo menor que ",Configurações!$B$4," min ou maior que ",Configurações!$C$4," min. Verifique a aba Vídeos."),""))</f>
        <v/>
      </c>
      <c r="O12" s="1">
        <f t="shared" si="4"/>
        <v>0</v>
      </c>
    </row>
    <row r="13" spans="1:15" ht="45" customHeight="1">
      <c r="H13" s="8" t="s">
        <v>31</v>
      </c>
      <c r="I13" s="8">
        <f>Vídeos!E48</f>
        <v>240</v>
      </c>
      <c r="J13" s="9" t="str">
        <f>IF(I13&gt;=L13,"OK",_xlfn.CONCAT("Erro: Total de horas de vídeo menor que ",L13," min. Verifique a aba de instruções"))</f>
        <v>OK</v>
      </c>
      <c r="K13" s="7">
        <f>COUNTA(B3:B12)</f>
        <v>4</v>
      </c>
      <c r="L13" s="7">
        <f>K13*Configurações!B5</f>
        <v>240</v>
      </c>
      <c r="O13" s="1">
        <f t="shared" si="4"/>
        <v>0</v>
      </c>
    </row>
    <row r="14" spans="1:15">
      <c r="O14" s="7">
        <f>SUM(O3:O13)</f>
        <v>0</v>
      </c>
    </row>
  </sheetData>
  <sheetProtection algorithmName="SHA-512" hashValue="WZTnW20Db+WsV/2sGY2DnFKuMsgBhqyprOE/rpD499ODksGPL84Urvppy4H1QkX7iNo7ls+tWLXQtjJFynUdXQ==" saltValue="zkfgnqV3E5cVvFL/oqFIiQ==" spinCount="100000" sheet="1" objects="1" scenarios="1" formatColumns="0" formatRows="0" selectLockedCells="1"/>
  <mergeCells count="1">
    <mergeCell ref="A1:J1"/>
  </mergeCells>
  <conditionalFormatting sqref="J3:J13">
    <cfRule type="containsText" dxfId="3" priority="1" operator="containsText" text="Erro">
      <formula>NOT(ISERROR(SEARCH("Erro",J3)))</formula>
    </cfRule>
    <cfRule type="containsText" dxfId="2" priority="2" operator="containsText" text="OK">
      <formula>NOT(ISERROR(SEARCH("OK",J3)))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zoomScaleNormal="100" workbookViewId="0">
      <selection activeCell="C5" sqref="C5"/>
    </sheetView>
  </sheetViews>
  <sheetFormatPr defaultColWidth="10.6328125" defaultRowHeight="15"/>
  <cols>
    <col min="1" max="1" width="15.6328125" style="20" customWidth="1"/>
    <col min="2" max="2" width="10.6328125" style="20" customWidth="1"/>
    <col min="3" max="3" width="41.6328125" style="20" customWidth="1"/>
    <col min="4" max="4" width="66.1796875" style="20" customWidth="1"/>
    <col min="5" max="5" width="28.453125" style="20" customWidth="1"/>
    <col min="6" max="6" width="36.1796875" style="20" customWidth="1"/>
    <col min="7" max="9" width="10.6328125" style="1" hidden="1" customWidth="1"/>
    <col min="10" max="10" width="0" style="1" hidden="1"/>
    <col min="11" max="12" width="10.6328125" style="1" customWidth="1"/>
    <col min="13" max="16384" width="10.6328125" style="1"/>
  </cols>
  <sheetData>
    <row r="1" spans="1:10" ht="87" customHeight="1">
      <c r="A1" s="46" t="e">
        <v>#VALUE!</v>
      </c>
      <c r="B1" s="47"/>
      <c r="C1" s="47"/>
      <c r="D1" s="47"/>
      <c r="E1" s="47"/>
      <c r="F1" s="18"/>
    </row>
    <row r="2" spans="1:10" ht="34.049999999999997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9</v>
      </c>
    </row>
    <row r="3" spans="1:10" ht="67.95" customHeight="1">
      <c r="A3" s="19">
        <v>1</v>
      </c>
      <c r="B3" s="19">
        <v>1</v>
      </c>
      <c r="C3" s="19" t="s">
        <v>76</v>
      </c>
      <c r="D3" s="19" t="s">
        <v>77</v>
      </c>
      <c r="E3" s="19">
        <v>20</v>
      </c>
      <c r="F3" s="9" t="str">
        <f t="shared" ref="F3:F47" si="0">IF(G3&lt;&gt;"",G3,IF(H3&lt;&gt;"",H3,IF(I3&lt;&gt;"",I3,"OK")))</f>
        <v>OK</v>
      </c>
      <c r="G3" s="1" t="str">
        <f t="shared" ref="G3:G21" si="1">IF(AND(A3=0,OR(B3&gt;0,C3&lt;&gt;"",D3&lt;&gt;"",E3&gt;0)),"Erro: Número da aula não informado","")</f>
        <v/>
      </c>
      <c r="H3" s="1" t="str">
        <f t="shared" ref="H3:H21" si="2">IF(A3=0,"",IF(B3=0,"Erro: Número do vídeo não informado", IF(C3="","Erro: Título do vídeo não informado",IF(D3="","Erro: Tema do vídeo não informado",IF(E3=0,"Erro: Tempo do vídeo não informado","")))))</f>
        <v/>
      </c>
      <c r="I3" s="1" t="str">
        <f>IF(E3=0,"",IF(OR(E3&lt;Configurações!$B$3,E3&gt;Configurações!$C$3),_xlfn.CONCAT("Erro: Vídeo com tempo menor que ",Configurações!$B$3,"min ou maior de ",Configurações!$C$3," min"),""))</f>
        <v/>
      </c>
      <c r="J3" s="1">
        <f t="shared" ref="J3:J21" si="3">IF(F3&lt;&gt;"OK",1,0)</f>
        <v>0</v>
      </c>
    </row>
    <row r="4" spans="1:10" ht="67.95" customHeight="1">
      <c r="A4" s="19">
        <v>1</v>
      </c>
      <c r="B4" s="19">
        <v>2</v>
      </c>
      <c r="C4" s="19" t="s">
        <v>78</v>
      </c>
      <c r="D4" s="19" t="s">
        <v>79</v>
      </c>
      <c r="E4" s="19">
        <v>20</v>
      </c>
      <c r="F4" s="9" t="str">
        <f t="shared" si="0"/>
        <v>OK</v>
      </c>
      <c r="G4" s="1" t="str">
        <f t="shared" si="1"/>
        <v/>
      </c>
      <c r="H4" s="1" t="str">
        <f t="shared" si="2"/>
        <v/>
      </c>
      <c r="I4" s="1" t="str">
        <f>IF(E4=0,"",IF(OR(E4&lt;Configurações!$B$3,E4&gt;Configurações!$C$3),_xlfn.CONCAT("Erro: Vídeo com tempo menor que ",Configurações!$B$3,"min ou maior de ",Configurações!$C$3," min"),""))</f>
        <v/>
      </c>
      <c r="J4" s="1">
        <f t="shared" si="3"/>
        <v>0</v>
      </c>
    </row>
    <row r="5" spans="1:10" ht="67.95" customHeight="1">
      <c r="A5" s="19">
        <v>1</v>
      </c>
      <c r="B5" s="19">
        <v>3</v>
      </c>
      <c r="C5" s="19" t="s">
        <v>80</v>
      </c>
      <c r="D5" s="19" t="s">
        <v>81</v>
      </c>
      <c r="E5" s="19">
        <v>20</v>
      </c>
      <c r="F5" s="9" t="str">
        <f t="shared" si="0"/>
        <v>OK</v>
      </c>
      <c r="G5" s="1" t="str">
        <f t="shared" si="1"/>
        <v/>
      </c>
      <c r="H5" s="1" t="str">
        <f t="shared" si="2"/>
        <v/>
      </c>
      <c r="I5" s="1" t="str">
        <f>IF(E5=0,"",IF(OR(E5&lt;Configurações!$B$3,E5&gt;Configurações!$C$3),_xlfn.CONCAT("Erro: Vídeo com tempo menor que ",Configurações!$B$3,"min ou maior de ",Configurações!$C$3," min"),""))</f>
        <v/>
      </c>
      <c r="J5" s="1">
        <f t="shared" si="3"/>
        <v>0</v>
      </c>
    </row>
    <row r="6" spans="1:10" ht="67.95" customHeight="1">
      <c r="A6" s="19">
        <v>2</v>
      </c>
      <c r="B6" s="19">
        <v>1</v>
      </c>
      <c r="C6" s="19" t="s">
        <v>82</v>
      </c>
      <c r="D6" s="19" t="s">
        <v>83</v>
      </c>
      <c r="E6" s="19">
        <v>20</v>
      </c>
      <c r="F6" s="9" t="str">
        <f t="shared" si="0"/>
        <v>OK</v>
      </c>
      <c r="G6" s="1" t="str">
        <f t="shared" si="1"/>
        <v/>
      </c>
      <c r="H6" s="1" t="str">
        <f t="shared" si="2"/>
        <v/>
      </c>
      <c r="I6" s="1" t="str">
        <f>IF(E6=0,"",IF(OR(E6&lt;Configurações!$B$3,E6&gt;Configurações!$C$3),_xlfn.CONCAT("Erro: Vídeo com tempo menor que ",Configurações!$B$3,"min ou maior de ",Configurações!$C$3," min"),""))</f>
        <v/>
      </c>
      <c r="J6" s="1">
        <f t="shared" si="3"/>
        <v>0</v>
      </c>
    </row>
    <row r="7" spans="1:10" ht="67.95" customHeight="1">
      <c r="A7" s="19">
        <v>2</v>
      </c>
      <c r="B7" s="19">
        <v>2</v>
      </c>
      <c r="C7" s="19" t="s">
        <v>84</v>
      </c>
      <c r="D7" s="19" t="s">
        <v>85</v>
      </c>
      <c r="E7" s="19">
        <v>20</v>
      </c>
      <c r="F7" s="9" t="str">
        <f t="shared" si="0"/>
        <v>OK</v>
      </c>
      <c r="G7" s="1" t="str">
        <f t="shared" si="1"/>
        <v/>
      </c>
      <c r="H7" s="1" t="str">
        <f t="shared" si="2"/>
        <v/>
      </c>
      <c r="I7" s="1" t="str">
        <f>IF(E7=0,"",IF(OR(E7&lt;Configurações!$B$3,E7&gt;Configurações!$C$3),_xlfn.CONCAT("Erro: Vídeo com tempo menor que ",Configurações!$B$3,"min ou maior de ",Configurações!$C$3," min"),""))</f>
        <v/>
      </c>
      <c r="J7" s="1">
        <f t="shared" si="3"/>
        <v>0</v>
      </c>
    </row>
    <row r="8" spans="1:10" ht="67.95" customHeight="1">
      <c r="A8" s="19">
        <v>2</v>
      </c>
      <c r="B8" s="19">
        <v>3</v>
      </c>
      <c r="C8" s="19" t="s">
        <v>86</v>
      </c>
      <c r="D8" s="19" t="s">
        <v>87</v>
      </c>
      <c r="E8" s="19">
        <v>20</v>
      </c>
      <c r="F8" s="9" t="str">
        <f t="shared" si="0"/>
        <v>OK</v>
      </c>
      <c r="G8" s="1" t="str">
        <f t="shared" si="1"/>
        <v/>
      </c>
      <c r="H8" s="1" t="str">
        <f t="shared" si="2"/>
        <v/>
      </c>
      <c r="I8" s="1" t="str">
        <f>IF(E8=0,"",IF(OR(E8&lt;Configurações!$B$3,E8&gt;Configurações!$C$3),_xlfn.CONCAT("Erro: Vídeo com tempo menor que ",Configurações!$B$3,"min ou maior de ",Configurações!$C$3," min"),""))</f>
        <v/>
      </c>
      <c r="J8" s="1">
        <f t="shared" si="3"/>
        <v>0</v>
      </c>
    </row>
    <row r="9" spans="1:10" ht="67.95" customHeight="1">
      <c r="A9" s="19">
        <v>3</v>
      </c>
      <c r="B9" s="19">
        <v>1</v>
      </c>
      <c r="C9" s="19" t="s">
        <v>88</v>
      </c>
      <c r="D9" s="19" t="s">
        <v>89</v>
      </c>
      <c r="E9" s="19">
        <v>20</v>
      </c>
      <c r="F9" s="9" t="str">
        <f t="shared" si="0"/>
        <v>OK</v>
      </c>
      <c r="G9" s="1" t="str">
        <f t="shared" si="1"/>
        <v/>
      </c>
      <c r="H9" s="1" t="str">
        <f t="shared" si="2"/>
        <v/>
      </c>
      <c r="I9" s="1" t="str">
        <f>IF(E9=0,"",IF(OR(E9&lt;Configurações!$B$3,E9&gt;Configurações!$C$3),_xlfn.CONCAT("Erro: Vídeo com tempo menor que ",Configurações!$B$3,"min ou maior de ",Configurações!$C$3," min"),""))</f>
        <v/>
      </c>
      <c r="J9" s="1">
        <f t="shared" si="3"/>
        <v>0</v>
      </c>
    </row>
    <row r="10" spans="1:10" ht="67.95" customHeight="1">
      <c r="A10" s="19">
        <v>3</v>
      </c>
      <c r="B10" s="19">
        <v>2</v>
      </c>
      <c r="C10" s="19" t="s">
        <v>90</v>
      </c>
      <c r="D10" s="19" t="s">
        <v>91</v>
      </c>
      <c r="E10" s="19">
        <v>20</v>
      </c>
      <c r="F10" s="9" t="str">
        <f t="shared" si="0"/>
        <v>OK</v>
      </c>
      <c r="G10" s="1" t="str">
        <f t="shared" si="1"/>
        <v/>
      </c>
      <c r="H10" s="1" t="str">
        <f t="shared" si="2"/>
        <v/>
      </c>
      <c r="I10" s="1" t="str">
        <f>IF(E10=0,"",IF(OR(E10&lt;Configurações!$B$3,E10&gt;Configurações!$C$3),_xlfn.CONCAT("Erro: Vídeo com tempo menor que ",Configurações!$B$3,"min ou maior de ",Configurações!$C$3," min"),""))</f>
        <v/>
      </c>
      <c r="J10" s="1">
        <f t="shared" si="3"/>
        <v>0</v>
      </c>
    </row>
    <row r="11" spans="1:10" ht="85.05" customHeight="1">
      <c r="A11" s="19">
        <v>3</v>
      </c>
      <c r="B11" s="19">
        <v>3</v>
      </c>
      <c r="C11" s="19" t="s">
        <v>92</v>
      </c>
      <c r="D11" s="19" t="s">
        <v>93</v>
      </c>
      <c r="E11" s="19">
        <v>20</v>
      </c>
      <c r="F11" s="9" t="str">
        <f t="shared" si="0"/>
        <v>OK</v>
      </c>
      <c r="G11" s="1" t="str">
        <f t="shared" si="1"/>
        <v/>
      </c>
      <c r="H11" s="1" t="str">
        <f t="shared" si="2"/>
        <v/>
      </c>
      <c r="I11" s="1" t="str">
        <f>IF(E11=0,"",IF(OR(E11&lt;Configurações!$B$3,E11&gt;Configurações!$C$3),_xlfn.CONCAT("Erro: Vídeo com tempo menor que ",Configurações!$B$3,"min ou maior de ",Configurações!$C$3," min"),""))</f>
        <v/>
      </c>
      <c r="J11" s="1">
        <f t="shared" si="3"/>
        <v>0</v>
      </c>
    </row>
    <row r="12" spans="1:10" ht="67.95" customHeight="1">
      <c r="A12" s="19">
        <v>4</v>
      </c>
      <c r="B12" s="19">
        <v>1</v>
      </c>
      <c r="C12" s="19" t="s">
        <v>94</v>
      </c>
      <c r="D12" s="19" t="s">
        <v>95</v>
      </c>
      <c r="E12" s="19">
        <v>20</v>
      </c>
      <c r="F12" s="9" t="str">
        <f t="shared" si="0"/>
        <v>OK</v>
      </c>
      <c r="G12" s="1" t="str">
        <f t="shared" si="1"/>
        <v/>
      </c>
      <c r="H12" s="1" t="str">
        <f t="shared" si="2"/>
        <v/>
      </c>
      <c r="I12" s="1" t="str">
        <f>IF(E12=0,"",IF(OR(E12&lt;Configurações!$B$3,E12&gt;Configurações!$C$3),_xlfn.CONCAT("Erro: Vídeo com tempo menor que ",Configurações!$B$3,"min ou maior de ",Configurações!$C$3," min"),""))</f>
        <v/>
      </c>
      <c r="J12" s="1">
        <f t="shared" si="3"/>
        <v>0</v>
      </c>
    </row>
    <row r="13" spans="1:10" ht="67.95" customHeight="1">
      <c r="A13" s="19">
        <v>4</v>
      </c>
      <c r="B13" s="19">
        <v>2</v>
      </c>
      <c r="C13" s="19" t="s">
        <v>96</v>
      </c>
      <c r="D13" s="19" t="s">
        <v>97</v>
      </c>
      <c r="E13" s="19">
        <v>20</v>
      </c>
      <c r="F13" s="9" t="str">
        <f t="shared" si="0"/>
        <v>OK</v>
      </c>
      <c r="G13" s="1" t="str">
        <f t="shared" si="1"/>
        <v/>
      </c>
      <c r="H13" s="1" t="str">
        <f t="shared" si="2"/>
        <v/>
      </c>
      <c r="I13" s="1" t="str">
        <f>IF(E13=0,"",IF(OR(E13&lt;Configurações!$B$3,E13&gt;Configurações!$C$3),_xlfn.CONCAT("Erro: Vídeo com tempo menor que ",Configurações!$B$3,"min ou maior de ",Configurações!$C$3," min"),""))</f>
        <v/>
      </c>
      <c r="J13" s="1">
        <f t="shared" si="3"/>
        <v>0</v>
      </c>
    </row>
    <row r="14" spans="1:10" ht="67.95" customHeight="1">
      <c r="A14" s="19">
        <v>4</v>
      </c>
      <c r="B14" s="19">
        <v>3</v>
      </c>
      <c r="C14" s="19" t="s">
        <v>98</v>
      </c>
      <c r="D14" s="19" t="s">
        <v>99</v>
      </c>
      <c r="E14" s="19">
        <v>20</v>
      </c>
      <c r="F14" s="9" t="str">
        <f t="shared" si="0"/>
        <v>OK</v>
      </c>
      <c r="G14" s="1" t="str">
        <f t="shared" si="1"/>
        <v/>
      </c>
      <c r="H14" s="1" t="str">
        <f t="shared" si="2"/>
        <v/>
      </c>
      <c r="I14" s="1" t="str">
        <f>IF(E14=0,"",IF(OR(E14&lt;Configurações!$B$3,E14&gt;Configurações!$C$3),_xlfn.CONCAT("Erro: Vídeo com tempo menor que ",Configurações!$B$3,"min ou maior de ",Configurações!$C$3," min"),""))</f>
        <v/>
      </c>
      <c r="J14" s="1">
        <f t="shared" si="3"/>
        <v>0</v>
      </c>
    </row>
    <row r="15" spans="1:10" ht="67.95" customHeight="1">
      <c r="A15" s="19"/>
      <c r="B15" s="19"/>
      <c r="C15" s="19"/>
      <c r="D15" s="19"/>
      <c r="E15" s="19"/>
      <c r="F15" s="9" t="str">
        <f t="shared" si="0"/>
        <v>OK</v>
      </c>
      <c r="G15" s="1" t="str">
        <f t="shared" si="1"/>
        <v/>
      </c>
      <c r="H15" s="1" t="str">
        <f t="shared" si="2"/>
        <v/>
      </c>
      <c r="I15" s="1" t="str">
        <f>IF(E15=0,"",IF(OR(E15&lt;Configurações!$B$3,E15&gt;Configurações!$C$3),_xlfn.CONCAT("Erro: Vídeo com tempo menor que ",Configurações!$B$3,"min ou maior de ",Configurações!$C$3," min"),""))</f>
        <v/>
      </c>
      <c r="J15" s="1">
        <f t="shared" si="3"/>
        <v>0</v>
      </c>
    </row>
    <row r="16" spans="1:10" ht="67.95" customHeight="1">
      <c r="A16" s="19"/>
      <c r="B16" s="19"/>
      <c r="C16" s="19"/>
      <c r="D16" s="19"/>
      <c r="E16" s="19"/>
      <c r="F16" s="9" t="str">
        <f t="shared" si="0"/>
        <v>OK</v>
      </c>
      <c r="G16" s="1" t="str">
        <f t="shared" si="1"/>
        <v/>
      </c>
      <c r="H16" s="1" t="str">
        <f t="shared" si="2"/>
        <v/>
      </c>
      <c r="I16" s="1" t="str">
        <f>IF(E16=0,"",IF(OR(E16&lt;Configurações!$B$3,E16&gt;Configurações!$C$3),_xlfn.CONCAT("Erro: Vídeo com tempo menor que ",Configurações!$B$3,"min ou maior de ",Configurações!$C$3," min"),""))</f>
        <v/>
      </c>
      <c r="J16" s="1">
        <f t="shared" si="3"/>
        <v>0</v>
      </c>
    </row>
    <row r="17" spans="1:10" ht="67.95" customHeight="1">
      <c r="A17" s="19"/>
      <c r="B17" s="19"/>
      <c r="C17" s="19"/>
      <c r="D17" s="19"/>
      <c r="E17" s="19"/>
      <c r="F17" s="9" t="str">
        <f t="shared" si="0"/>
        <v>OK</v>
      </c>
      <c r="G17" s="1" t="str">
        <f t="shared" si="1"/>
        <v/>
      </c>
      <c r="H17" s="1" t="str">
        <f t="shared" si="2"/>
        <v/>
      </c>
      <c r="I17" s="1" t="str">
        <f>IF(E17=0,"",IF(OR(E17&lt;Configurações!$B$3,E17&gt;Configurações!$C$3),_xlfn.CONCAT("Erro: Vídeo com tempo menor que ",Configurações!$B$3,"min ou maior de ",Configurações!$C$3," min"),""))</f>
        <v/>
      </c>
      <c r="J17" s="1">
        <f t="shared" si="3"/>
        <v>0</v>
      </c>
    </row>
    <row r="18" spans="1:10" ht="67.95" customHeight="1">
      <c r="A18" s="19"/>
      <c r="B18" s="19"/>
      <c r="C18" s="19"/>
      <c r="D18" s="19"/>
      <c r="E18" s="19"/>
      <c r="F18" s="9" t="str">
        <f t="shared" si="0"/>
        <v>OK</v>
      </c>
      <c r="G18" s="1" t="str">
        <f t="shared" si="1"/>
        <v/>
      </c>
      <c r="H18" s="1" t="str">
        <f t="shared" si="2"/>
        <v/>
      </c>
      <c r="I18" s="1" t="str">
        <f>IF(E18=0,"",IF(OR(E18&lt;Configurações!$B$3,E18&gt;Configurações!$C$3),_xlfn.CONCAT("Erro: Vídeo com tempo menor que ",Configurações!$B$3,"min ou maior de ",Configurações!$C$3," min"),""))</f>
        <v/>
      </c>
      <c r="J18" s="1">
        <f t="shared" si="3"/>
        <v>0</v>
      </c>
    </row>
    <row r="19" spans="1:10" ht="67.95" customHeight="1">
      <c r="A19" s="19"/>
      <c r="B19" s="19"/>
      <c r="C19" s="19"/>
      <c r="D19" s="19"/>
      <c r="E19" s="19"/>
      <c r="F19" s="9" t="str">
        <f t="shared" si="0"/>
        <v>OK</v>
      </c>
      <c r="G19" s="1" t="str">
        <f t="shared" si="1"/>
        <v/>
      </c>
      <c r="H19" s="1" t="str">
        <f t="shared" si="2"/>
        <v/>
      </c>
      <c r="I19" s="1" t="str">
        <f>IF(E19=0,"",IF(OR(E19&lt;Configurações!$B$3,E19&gt;Configurações!$C$3),_xlfn.CONCAT("Erro: Vídeo com tempo menor que ",Configurações!$B$3,"min ou maior de ",Configurações!$C$3," min"),""))</f>
        <v/>
      </c>
      <c r="J19" s="1">
        <f t="shared" si="3"/>
        <v>0</v>
      </c>
    </row>
    <row r="20" spans="1:10" ht="67.95" customHeight="1">
      <c r="A20" s="19"/>
      <c r="B20" s="19"/>
      <c r="C20" s="19"/>
      <c r="D20" s="19"/>
      <c r="E20" s="19"/>
      <c r="F20" s="9" t="str">
        <f t="shared" si="0"/>
        <v>OK</v>
      </c>
      <c r="G20" s="1" t="str">
        <f t="shared" si="1"/>
        <v/>
      </c>
      <c r="H20" s="1" t="str">
        <f t="shared" si="2"/>
        <v/>
      </c>
      <c r="I20" s="1" t="str">
        <f>IF(E20=0,"",IF(OR(E20&lt;Configurações!$B$3,E20&gt;Configurações!$C$3),_xlfn.CONCAT("Erro: Vídeo com tempo menor que ",Configurações!$B$3,"min ou maior de ",Configurações!$C$3," min"),""))</f>
        <v/>
      </c>
      <c r="J20" s="1">
        <f t="shared" si="3"/>
        <v>0</v>
      </c>
    </row>
    <row r="21" spans="1:10" ht="67.95" customHeight="1">
      <c r="A21" s="19"/>
      <c r="B21" s="19"/>
      <c r="C21" s="19"/>
      <c r="D21" s="19"/>
      <c r="E21" s="19"/>
      <c r="F21" s="9" t="str">
        <f t="shared" si="0"/>
        <v>OK</v>
      </c>
      <c r="G21" s="1" t="str">
        <f t="shared" si="1"/>
        <v/>
      </c>
      <c r="H21" s="1" t="str">
        <f t="shared" si="2"/>
        <v/>
      </c>
      <c r="I21" s="1" t="str">
        <f>IF(E21=0,"",IF(OR(E21&lt;Configurações!$B$3,E21&gt;Configurações!$C$3),_xlfn.CONCAT("Erro: Vídeo com tempo menor que ",Configurações!$B$3,"min ou maior de ",Configurações!$C$3," min"),""))</f>
        <v/>
      </c>
      <c r="J21" s="1">
        <f t="shared" si="3"/>
        <v>0</v>
      </c>
    </row>
    <row r="22" spans="1:10" ht="67.95" customHeight="1">
      <c r="A22" s="27"/>
      <c r="B22" s="27"/>
      <c r="C22" s="19"/>
      <c r="D22" s="19"/>
      <c r="E22" s="27"/>
      <c r="F22" s="9" t="str">
        <f t="shared" si="0"/>
        <v>OK</v>
      </c>
    </row>
    <row r="23" spans="1:10" ht="67.95" customHeight="1">
      <c r="A23" s="27"/>
      <c r="B23" s="27"/>
      <c r="C23" s="19"/>
      <c r="D23" s="19"/>
      <c r="E23" s="27"/>
      <c r="F23" s="9" t="str">
        <f t="shared" si="0"/>
        <v>OK</v>
      </c>
    </row>
    <row r="24" spans="1:10" ht="67.95" customHeight="1">
      <c r="A24" s="27"/>
      <c r="B24" s="27"/>
      <c r="C24" s="19"/>
      <c r="D24" s="19"/>
      <c r="E24" s="27"/>
      <c r="F24" s="9" t="str">
        <f t="shared" si="0"/>
        <v>OK</v>
      </c>
    </row>
    <row r="25" spans="1:10" ht="67.95" customHeight="1">
      <c r="A25" s="27"/>
      <c r="B25" s="27"/>
      <c r="C25" s="19"/>
      <c r="D25" s="19"/>
      <c r="E25" s="27"/>
      <c r="F25" s="9" t="str">
        <f t="shared" si="0"/>
        <v>OK</v>
      </c>
    </row>
    <row r="26" spans="1:10" ht="67.95" customHeight="1">
      <c r="A26" s="27"/>
      <c r="B26" s="27"/>
      <c r="C26" s="19"/>
      <c r="D26" s="19"/>
      <c r="E26" s="27"/>
      <c r="F26" s="9" t="str">
        <f t="shared" si="0"/>
        <v>OK</v>
      </c>
    </row>
    <row r="27" spans="1:10" ht="33" customHeight="1">
      <c r="A27" s="27"/>
      <c r="B27" s="27"/>
      <c r="C27" s="19"/>
      <c r="D27" s="19"/>
      <c r="E27" s="27"/>
      <c r="F27" s="9" t="str">
        <f t="shared" si="0"/>
        <v>OK</v>
      </c>
    </row>
    <row r="28" spans="1:10" ht="33" customHeight="1">
      <c r="A28" s="27"/>
      <c r="B28" s="27"/>
      <c r="C28" s="19"/>
      <c r="D28" s="19"/>
      <c r="E28" s="27"/>
      <c r="F28" s="9" t="str">
        <f t="shared" si="0"/>
        <v>OK</v>
      </c>
    </row>
    <row r="29" spans="1:10" ht="33" customHeight="1">
      <c r="A29" s="27"/>
      <c r="B29" s="27"/>
      <c r="C29" s="19"/>
      <c r="D29" s="19"/>
      <c r="E29" s="27"/>
      <c r="F29" s="9" t="str">
        <f t="shared" si="0"/>
        <v>OK</v>
      </c>
    </row>
    <row r="30" spans="1:10" ht="33" customHeight="1">
      <c r="A30" s="27"/>
      <c r="B30" s="27"/>
      <c r="C30" s="19"/>
      <c r="D30" s="19"/>
      <c r="E30" s="27"/>
      <c r="F30" s="9" t="str">
        <f t="shared" si="0"/>
        <v>OK</v>
      </c>
    </row>
    <row r="31" spans="1:10" ht="33" customHeight="1">
      <c r="A31" s="27"/>
      <c r="B31" s="27"/>
      <c r="C31" s="19"/>
      <c r="D31" s="19"/>
      <c r="E31" s="27"/>
      <c r="F31" s="9" t="str">
        <f t="shared" si="0"/>
        <v>OK</v>
      </c>
    </row>
    <row r="32" spans="1:10" ht="33" customHeight="1">
      <c r="A32" s="27"/>
      <c r="B32" s="27"/>
      <c r="C32" s="19"/>
      <c r="D32" s="19"/>
      <c r="E32" s="27"/>
      <c r="F32" s="9" t="str">
        <f t="shared" si="0"/>
        <v>OK</v>
      </c>
    </row>
    <row r="33" spans="1:10" ht="33" customHeight="1">
      <c r="A33" s="27"/>
      <c r="B33" s="27"/>
      <c r="C33" s="19"/>
      <c r="D33" s="19"/>
      <c r="E33" s="27"/>
      <c r="F33" s="9" t="str">
        <f t="shared" si="0"/>
        <v>OK</v>
      </c>
    </row>
    <row r="34" spans="1:10" ht="33" customHeight="1">
      <c r="A34" s="27"/>
      <c r="B34" s="27"/>
      <c r="C34" s="19"/>
      <c r="D34" s="19"/>
      <c r="E34" s="27"/>
      <c r="F34" s="9" t="str">
        <f t="shared" si="0"/>
        <v>OK</v>
      </c>
    </row>
    <row r="35" spans="1:10" ht="33" customHeight="1">
      <c r="A35" s="27"/>
      <c r="B35" s="27"/>
      <c r="C35" s="19"/>
      <c r="D35" s="19"/>
      <c r="E35" s="27"/>
      <c r="F35" s="9" t="str">
        <f t="shared" si="0"/>
        <v>OK</v>
      </c>
    </row>
    <row r="36" spans="1:10" ht="33" customHeight="1">
      <c r="A36" s="19"/>
      <c r="B36" s="19"/>
      <c r="C36" s="19"/>
      <c r="D36" s="19"/>
      <c r="E36" s="19"/>
      <c r="F36" s="9" t="str">
        <f t="shared" si="0"/>
        <v>OK</v>
      </c>
    </row>
    <row r="37" spans="1:10" ht="33" customHeight="1">
      <c r="A37" s="19"/>
      <c r="B37" s="19"/>
      <c r="C37" s="19"/>
      <c r="D37" s="19"/>
      <c r="E37" s="19"/>
      <c r="F37" s="9" t="str">
        <f t="shared" si="0"/>
        <v>OK</v>
      </c>
    </row>
    <row r="38" spans="1:10" ht="33" customHeight="1">
      <c r="A38" s="19"/>
      <c r="B38" s="19"/>
      <c r="C38" s="19"/>
      <c r="D38" s="19"/>
      <c r="E38" s="19"/>
      <c r="F38" s="9" t="str">
        <f t="shared" si="0"/>
        <v>OK</v>
      </c>
    </row>
    <row r="39" spans="1:10" ht="33" customHeight="1">
      <c r="A39" s="19"/>
      <c r="B39" s="19"/>
      <c r="C39" s="19"/>
      <c r="D39" s="19"/>
      <c r="E39" s="19"/>
      <c r="F39" s="9" t="str">
        <f t="shared" si="0"/>
        <v>OK</v>
      </c>
    </row>
    <row r="40" spans="1:10" ht="33" customHeight="1">
      <c r="A40" s="19"/>
      <c r="B40" s="19"/>
      <c r="C40" s="19"/>
      <c r="D40" s="19"/>
      <c r="E40" s="19"/>
      <c r="F40" s="9" t="str">
        <f t="shared" si="0"/>
        <v>OK</v>
      </c>
    </row>
    <row r="41" spans="1:10" ht="33" customHeight="1">
      <c r="A41" s="19"/>
      <c r="B41" s="19"/>
      <c r="C41" s="19"/>
      <c r="D41" s="19"/>
      <c r="E41" s="19"/>
      <c r="F41" s="9" t="str">
        <f t="shared" si="0"/>
        <v>OK</v>
      </c>
    </row>
    <row r="42" spans="1:10" ht="33" customHeight="1">
      <c r="A42" s="19"/>
      <c r="B42" s="19"/>
      <c r="C42" s="19"/>
      <c r="D42" s="19"/>
      <c r="E42" s="19"/>
      <c r="F42" s="9" t="str">
        <f t="shared" si="0"/>
        <v>OK</v>
      </c>
    </row>
    <row r="43" spans="1:10" ht="33" customHeight="1">
      <c r="A43" s="19"/>
      <c r="B43" s="19"/>
      <c r="C43" s="19"/>
      <c r="D43" s="19"/>
      <c r="E43" s="19"/>
      <c r="F43" s="9" t="str">
        <f t="shared" si="0"/>
        <v>OK</v>
      </c>
    </row>
    <row r="44" spans="1:10" ht="33" customHeight="1">
      <c r="A44" s="19"/>
      <c r="B44" s="19"/>
      <c r="C44" s="19"/>
      <c r="D44" s="19"/>
      <c r="E44" s="19"/>
      <c r="F44" s="9" t="str">
        <f t="shared" si="0"/>
        <v>OK</v>
      </c>
    </row>
    <row r="45" spans="1:10" ht="33" customHeight="1">
      <c r="A45" s="19"/>
      <c r="B45" s="19"/>
      <c r="C45" s="19"/>
      <c r="D45" s="19"/>
      <c r="E45" s="19"/>
      <c r="F45" s="9" t="str">
        <f t="shared" si="0"/>
        <v>OK</v>
      </c>
    </row>
    <row r="46" spans="1:10" ht="33" customHeight="1">
      <c r="A46" s="19"/>
      <c r="B46" s="19"/>
      <c r="C46" s="19"/>
      <c r="D46" s="19"/>
      <c r="E46" s="19"/>
      <c r="F46" s="9" t="str">
        <f t="shared" si="0"/>
        <v>OK</v>
      </c>
    </row>
    <row r="47" spans="1:10" ht="33" customHeight="1">
      <c r="A47" s="19"/>
      <c r="B47" s="19"/>
      <c r="C47" s="19"/>
      <c r="D47" s="19"/>
      <c r="E47" s="19"/>
      <c r="F47" s="9" t="str">
        <f t="shared" si="0"/>
        <v>OK</v>
      </c>
      <c r="G47" s="1" t="str">
        <f>IF(AND(A47=0,OR(B47&gt;0,C47&lt;&gt;"",D47&lt;&gt;"",E47&gt;0)),"Erro: Número da aula não informado","")</f>
        <v/>
      </c>
      <c r="H47" s="1" t="str">
        <f>IF(A47=0,"",IF(B47=0,"Erro: Número do vídeo não informado", IF(C47="","Erro: Título do vídeo não informado",IF(D47="","Erro: Tema do vídeo não informado",IF(E47=0,"Erro: Tempo do vídeo não informado","")))))</f>
        <v/>
      </c>
      <c r="I47" s="1" t="str">
        <f>IF(E47=0,"",IF(OR(E47&lt;Configurações!$B$3,E47&gt;Configurações!$C$3),_xlfn.CONCAT("Erro: Vídeo com tempo menor que ",Configurações!$B$3,"min ou maior de ",Configurações!$C$3," min"),""))</f>
        <v/>
      </c>
      <c r="J47" s="1">
        <f>IF(F47&lt;&gt;"OK",1,0)</f>
        <v>0</v>
      </c>
    </row>
    <row r="48" spans="1:10" ht="16.95" customHeight="1">
      <c r="A48" s="26"/>
      <c r="D48" s="21" t="s">
        <v>31</v>
      </c>
      <c r="E48" s="22">
        <f>SUM(E3:E47)</f>
        <v>240</v>
      </c>
      <c r="J48" s="1">
        <f>SUM(J3:J47)</f>
        <v>0</v>
      </c>
    </row>
    <row r="49" spans="1:1">
      <c r="A49" s="26"/>
    </row>
    <row r="50" spans="1:1">
      <c r="A50" s="26"/>
    </row>
    <row r="51" spans="1:1">
      <c r="A51" s="26"/>
    </row>
    <row r="52" spans="1:1">
      <c r="A52" s="26"/>
    </row>
    <row r="53" spans="1:1">
      <c r="A53" s="26"/>
    </row>
    <row r="54" spans="1:1">
      <c r="A54" s="26"/>
    </row>
    <row r="55" spans="1:1">
      <c r="A55" s="26"/>
    </row>
    <row r="56" spans="1:1">
      <c r="A56" s="26"/>
    </row>
  </sheetData>
  <sheetProtection algorithmName="SHA-512" hashValue="H87PGcaVbMMWk+EKbaKd/UODAF3qRHiL8Hjth40QjRN1kTBckdoF0VVp+mgrjsDtY3/aUPY0IrtO7PadXZcFKw==" saltValue="P+fRkNBZXHiSSmDhUwsoMQ==" spinCount="100000" sheet="1" objects="1" scenarios="1" formatColumns="0" formatRows="0" insertRows="0" selectLockedCells="1"/>
  <mergeCells count="1">
    <mergeCell ref="A1:E1"/>
  </mergeCells>
  <conditionalFormatting sqref="F3:F47">
    <cfRule type="containsText" dxfId="1" priority="1" operator="containsText" text="Erro">
      <formula>NOT(ISERROR(SEARCH("Erro",F3)))</formula>
    </cfRule>
    <cfRule type="containsText" dxfId="0" priority="2" operator="containsText" text="OK">
      <formula>NOT(ISERROR(SEARCH("OK",F3)))</formula>
    </cfRule>
  </conditionalFormatting>
  <dataValidations count="3">
    <dataValidation type="whole" allowBlank="1" showInputMessage="1" showErrorMessage="1" prompt="Preencher entre 1 e 100" sqref="B18:B47" xr:uid="{00000000-0002-0000-0300-000000000000}">
      <formula1>0</formula1>
      <formula2>100</formula2>
    </dataValidation>
    <dataValidation type="whole" allowBlank="1" showInputMessage="1" showErrorMessage="1" prompt="Preencher somente números de 0 a 35" sqref="E18:E47" xr:uid="{00000000-0002-0000-0300-000001000000}">
      <formula1>0</formula1>
      <formula2>40</formula2>
    </dataValidation>
    <dataValidation type="list" allowBlank="1" showInputMessage="1" showErrorMessage="1" prompt="Escolher entre as aulas 1 e 10, ou 0 para tirar a informação" sqref="A3:A55" xr:uid="{00000000-0002-0000-0300-000002000000}">
      <formula1>"0,1,2,3,4,5,6,7,8,9,10"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5" sqref="C5"/>
    </sheetView>
  </sheetViews>
  <sheetFormatPr defaultColWidth="10.6328125" defaultRowHeight="15"/>
  <cols>
    <col min="1" max="2" width="10.6328125" style="1" customWidth="1"/>
    <col min="3" max="16384" width="10.6328125" style="1"/>
  </cols>
  <sheetData>
    <row r="1" spans="1:3">
      <c r="A1" s="1" t="s">
        <v>100</v>
      </c>
    </row>
    <row r="2" spans="1:3">
      <c r="B2" s="1" t="s">
        <v>101</v>
      </c>
      <c r="C2" s="1" t="s">
        <v>102</v>
      </c>
    </row>
    <row r="3" spans="1:3">
      <c r="A3" s="1" t="s">
        <v>35</v>
      </c>
      <c r="B3" s="1">
        <v>12</v>
      </c>
      <c r="C3" s="1">
        <v>35</v>
      </c>
    </row>
    <row r="4" spans="1:3">
      <c r="A4" s="1" t="s">
        <v>103</v>
      </c>
      <c r="B4" s="1">
        <v>40</v>
      </c>
      <c r="C4" s="1">
        <v>120</v>
      </c>
    </row>
    <row r="5" spans="1:3">
      <c r="A5" s="1" t="s">
        <v>104</v>
      </c>
      <c r="B5" s="1">
        <v>60</v>
      </c>
    </row>
  </sheetData>
  <sheetProtection algorithmName="SHA-512" hashValue="jnK3CBoRUrc9X65tOiVuqVssAfNzthsE8QnBZfIGPYubRdlPaaiTa4QKOIPHKKZA1pzG/kWrpZJNru8yY70QjA==" saltValue="zyk/BUhM9tWg3HSfS6JnCQ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</vt:lpstr>
      <vt:lpstr>Introdução</vt:lpstr>
      <vt:lpstr>Aulas</vt:lpstr>
      <vt:lpstr>Vídeos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Rubens Rodrigues</dc:creator>
  <cp:lastModifiedBy>Rafael Tavares</cp:lastModifiedBy>
  <dcterms:created xsi:type="dcterms:W3CDTF">2025-04-11T01:01:45Z</dcterms:created>
  <dcterms:modified xsi:type="dcterms:W3CDTF">2026-07-24T17:25:04Z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2026-06-11T13:53:09Z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24fdf070-790c-420b-b899-bcba1577c0b0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